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harts/chart1.xml" ContentType="application/vnd.openxmlformats-officedocument.drawingml.chart+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charts/chart2.xml" ContentType="application/vnd.openxmlformats-officedocument.drawingml.chart+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trlProps/ctrlProp1.xml" ContentType="application/vnd.ms-excel.controlproperties+xml"/>
  <Override PartName="/xl/charts/chart3.xml" ContentType="application/vnd.openxmlformats-officedocument.drawingml.chart+xml"/>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trlProps/ctrlProp2.xml" ContentType="application/vnd.ms-excel.controlproperties+xml"/>
  <Override PartName="/xl/charts/chart4.xml" ContentType="application/vnd.openxmlformats-officedocument.drawingml.chart+xml"/>
  <Override PartName="/xl/drawings/drawing5.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727" codeName="{9351B8E1-9728-8E5E-8161-817DCB669FF3}"/>
  <workbookPr codeName="ThisWorkbook"/>
  <mc:AlternateContent xmlns:mc="http://schemas.openxmlformats.org/markup-compatibility/2006">
    <mc:Choice Requires="x15">
      <x15ac:absPath xmlns:x15ac="http://schemas.microsoft.com/office/spreadsheetml/2010/11/ac" url="P:\Projects 3241 - 3260\3259 - D44-4 Milton Keynes Central\Calculations\01 WIP\030 Floors\Courtyard\Punching Shear\"/>
    </mc:Choice>
  </mc:AlternateContent>
  <xr:revisionPtr revIDLastSave="0" documentId="13_ncr:1_{4099A339-78FC-48DA-A6E4-09E957692880}" xr6:coauthVersionLast="43" xr6:coauthVersionMax="43" xr10:uidLastSave="{00000000-0000-0000-0000-000000000000}"/>
  <bookViews>
    <workbookView xWindow="-3540" yWindow="3465" windowWidth="7500" windowHeight="10980" xr2:uid="{00000000-000D-0000-FFFF-FFFF00000000}"/>
  </bookViews>
  <sheets>
    <sheet name="INTERNAL" sheetId="1" r:id="rId1"/>
    <sheet name="EDGE" sheetId="6" r:id="rId2"/>
    <sheet name="CORNER" sheetId="5" r:id="rId3"/>
    <sheet name="REENTRANT" sheetId="4" r:id="rId4"/>
    <sheet name="Geometry" sheetId="11" r:id="rId5"/>
    <sheet name="Gra" sheetId="10" r:id="rId6"/>
    <sheet name="Refs" sheetId="12" r:id="rId7"/>
    <sheet name="Notes" sheetId="3" r:id="rId8"/>
  </sheets>
  <definedNames>
    <definedName name="_xlnm.Print_Area" localSheetId="2">CORNER!$B$2:$L$38</definedName>
    <definedName name="_xlnm.Print_Area" localSheetId="1">EDGE!$B$2:$L$39</definedName>
    <definedName name="_xlnm.Print_Area" localSheetId="4">Geometry!$A$1:$U$35</definedName>
    <definedName name="_xlnm.Print_Area" localSheetId="5">Gra!$A$1:$R$190</definedName>
    <definedName name="_xlnm.Print_Area" localSheetId="0">INTERNAL!$B$2:$L$38</definedName>
    <definedName name="_xlnm.Print_Area" localSheetId="7">Notes!$A$1:$F$54</definedName>
    <definedName name="_xlnm.Print_Area" localSheetId="3">REENTRANT!$B$2:$L$38</definedName>
    <definedName name="γRC">INTERNAL!$R$2</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18" i="6" l="1"/>
  <c r="G21" i="6" l="1"/>
  <c r="G22" i="6" s="1"/>
  <c r="G20" i="1" l="1"/>
  <c r="G21" i="1" s="1"/>
  <c r="R2" i="1" l="1"/>
  <c r="E28" i="1" l="1"/>
  <c r="E28" i="5" s="1"/>
  <c r="O4" i="1"/>
  <c r="E28" i="4" l="1"/>
  <c r="E29" i="6"/>
  <c r="D10" i="12" l="1"/>
  <c r="D15" i="12"/>
  <c r="B10" i="12"/>
  <c r="D11" i="12"/>
  <c r="F10" i="1"/>
  <c r="E9" i="4"/>
  <c r="E8" i="4"/>
  <c r="O4" i="4" s="1"/>
  <c r="E9" i="5"/>
  <c r="E8" i="5"/>
  <c r="P4" i="5" s="1"/>
  <c r="AJ16" i="5" l="1"/>
  <c r="AJ17" i="5"/>
  <c r="AJ18" i="5"/>
  <c r="AJ19" i="5"/>
  <c r="AJ20" i="5"/>
  <c r="E19" i="4" l="1"/>
  <c r="E19" i="5"/>
  <c r="M14" i="6"/>
  <c r="S47" i="4" l="1"/>
  <c r="R47" i="4"/>
  <c r="Q60" i="1" l="1"/>
  <c r="O60" i="1"/>
  <c r="Q55" i="6"/>
  <c r="O55" i="6"/>
  <c r="R55" i="5"/>
  <c r="P55" i="5"/>
  <c r="S53" i="1"/>
  <c r="R53" i="1"/>
  <c r="S48" i="6"/>
  <c r="R48" i="6"/>
  <c r="T48" i="5"/>
  <c r="S48" i="5"/>
  <c r="N56" i="1"/>
  <c r="P56" i="1" s="1"/>
  <c r="N55" i="1"/>
  <c r="P55" i="1" s="1"/>
  <c r="N51" i="6"/>
  <c r="N50" i="6"/>
  <c r="N53" i="6" s="1"/>
  <c r="O51" i="5"/>
  <c r="P51" i="5" s="1"/>
  <c r="O50" i="5"/>
  <c r="O53" i="5" s="1"/>
  <c r="Q54" i="4"/>
  <c r="O54" i="4"/>
  <c r="R55" i="6" l="1"/>
  <c r="O56" i="1"/>
  <c r="Q50" i="5"/>
  <c r="P50" i="5"/>
  <c r="P58" i="1"/>
  <c r="R60" i="1"/>
  <c r="P52" i="5"/>
  <c r="P54" i="5" s="1"/>
  <c r="O52" i="5"/>
  <c r="O54" i="5" s="1"/>
  <c r="Q51" i="5"/>
  <c r="N52" i="6"/>
  <c r="O55" i="1"/>
  <c r="Q55" i="1" s="1"/>
  <c r="N57" i="1"/>
  <c r="N58" i="1"/>
  <c r="P57" i="1"/>
  <c r="Q56" i="1"/>
  <c r="P51" i="6"/>
  <c r="Q51" i="6" s="1"/>
  <c r="P50" i="6"/>
  <c r="P53" i="6" s="1"/>
  <c r="O50" i="6"/>
  <c r="Q50" i="6" s="1"/>
  <c r="S55" i="5"/>
  <c r="O51" i="6"/>
  <c r="R54" i="4"/>
  <c r="P50" i="4"/>
  <c r="N50" i="4"/>
  <c r="N49" i="4"/>
  <c r="N54" i="6" l="1"/>
  <c r="P59" i="1"/>
  <c r="N59" i="1"/>
  <c r="P53" i="5"/>
  <c r="R50" i="5"/>
  <c r="O58" i="1"/>
  <c r="O59" i="1" s="1"/>
  <c r="Q57" i="1"/>
  <c r="Q52" i="5"/>
  <c r="R51" i="5"/>
  <c r="Q53" i="5"/>
  <c r="O57" i="1"/>
  <c r="Q58" i="1"/>
  <c r="P52" i="6"/>
  <c r="P54" i="6" s="1"/>
  <c r="Q52" i="6"/>
  <c r="Q53" i="6"/>
  <c r="O52" i="6"/>
  <c r="O54" i="6" s="1"/>
  <c r="O53" i="6"/>
  <c r="N51" i="4"/>
  <c r="N52" i="4"/>
  <c r="O50" i="4"/>
  <c r="Q50" i="4"/>
  <c r="O49" i="4"/>
  <c r="P49" i="4"/>
  <c r="Q59" i="1" l="1"/>
  <c r="S57" i="1"/>
  <c r="Q54" i="5"/>
  <c r="R52" i="5"/>
  <c r="R54" i="5" s="1"/>
  <c r="R53" i="5"/>
  <c r="S53" i="5"/>
  <c r="T53" i="5"/>
  <c r="R57" i="1"/>
  <c r="R58" i="1"/>
  <c r="S58" i="1"/>
  <c r="S59" i="1" s="1"/>
  <c r="R53" i="6"/>
  <c r="S53" i="6"/>
  <c r="R52" i="6"/>
  <c r="R54" i="6" s="1"/>
  <c r="N45" i="6" s="1"/>
  <c r="S52" i="6"/>
  <c r="S54" i="6" s="1"/>
  <c r="P45" i="6" s="1"/>
  <c r="Q54" i="6"/>
  <c r="N53" i="4"/>
  <c r="P52" i="4"/>
  <c r="P51" i="4"/>
  <c r="O51" i="4"/>
  <c r="O52" i="4"/>
  <c r="Q49" i="4"/>
  <c r="P48" i="5"/>
  <c r="P47" i="5"/>
  <c r="O48" i="6"/>
  <c r="O47" i="6"/>
  <c r="O53" i="1"/>
  <c r="O52" i="1"/>
  <c r="O47" i="4"/>
  <c r="O46" i="4"/>
  <c r="R59" i="1" l="1"/>
  <c r="N50" i="1" s="1"/>
  <c r="N53" i="1" s="1"/>
  <c r="S52" i="5"/>
  <c r="S54" i="5" s="1"/>
  <c r="T52" i="5"/>
  <c r="T54" i="5" s="1"/>
  <c r="P49" i="1"/>
  <c r="P52" i="1" s="1"/>
  <c r="P50" i="1"/>
  <c r="P44" i="6"/>
  <c r="P46" i="6" s="1"/>
  <c r="N48" i="6"/>
  <c r="N44" i="6"/>
  <c r="N46" i="6" s="1"/>
  <c r="P53" i="4"/>
  <c r="O53" i="4"/>
  <c r="Q51" i="4"/>
  <c r="Q52" i="4"/>
  <c r="R52" i="4" s="1"/>
  <c r="P48" i="6"/>
  <c r="N49" i="1" l="1"/>
  <c r="N52" i="1" s="1"/>
  <c r="P51" i="1"/>
  <c r="Q45" i="5"/>
  <c r="Q44" i="5"/>
  <c r="Q47" i="5" s="1"/>
  <c r="O44" i="5"/>
  <c r="O47" i="5" s="1"/>
  <c r="O45" i="5"/>
  <c r="P47" i="6"/>
  <c r="N47" i="6"/>
  <c r="R51" i="4"/>
  <c r="R53" i="4" s="1"/>
  <c r="N43" i="4" s="1"/>
  <c r="Q53" i="4"/>
  <c r="S52" i="4"/>
  <c r="S51" i="4"/>
  <c r="P53" i="1"/>
  <c r="I18" i="4"/>
  <c r="I18" i="5"/>
  <c r="I18" i="6"/>
  <c r="I18" i="1"/>
  <c r="N51" i="1" l="1"/>
  <c r="O46" i="5"/>
  <c r="O48" i="5"/>
  <c r="Q46" i="5"/>
  <c r="Q48" i="5"/>
  <c r="S53" i="4"/>
  <c r="P44" i="4" s="1"/>
  <c r="N44" i="4"/>
  <c r="N36" i="1"/>
  <c r="O36" i="1" s="1"/>
  <c r="N47" i="4" l="1"/>
  <c r="N46" i="4"/>
  <c r="P43" i="4"/>
  <c r="N45" i="4"/>
  <c r="P47" i="4"/>
  <c r="N40" i="6"/>
  <c r="A1" i="3"/>
  <c r="G20" i="4"/>
  <c r="O5" i="4"/>
  <c r="D21" i="5"/>
  <c r="G20" i="5" s="1"/>
  <c r="P5" i="5"/>
  <c r="E8" i="6"/>
  <c r="M13" i="6" s="1"/>
  <c r="O5" i="1"/>
  <c r="C56" i="4"/>
  <c r="C54" i="4"/>
  <c r="E54" i="4" s="1"/>
  <c r="AC21" i="4"/>
  <c r="AC22" i="4"/>
  <c r="C42" i="4"/>
  <c r="D42" i="4" s="1"/>
  <c r="E42" i="4" s="1"/>
  <c r="C43" i="4"/>
  <c r="D43" i="4" s="1"/>
  <c r="C45" i="4"/>
  <c r="C49" i="4"/>
  <c r="D49" i="4" s="1"/>
  <c r="C51" i="4"/>
  <c r="C55" i="4"/>
  <c r="E55" i="4" s="1"/>
  <c r="I42" i="4"/>
  <c r="J42" i="4" s="1"/>
  <c r="I43" i="4"/>
  <c r="J43" i="4" s="1"/>
  <c r="K43" i="4" s="1"/>
  <c r="I45" i="4"/>
  <c r="I49" i="4"/>
  <c r="J49" i="4" s="1"/>
  <c r="K49" i="4" s="1"/>
  <c r="I51" i="4"/>
  <c r="H56" i="4"/>
  <c r="AF3" i="4"/>
  <c r="AG3" i="4" s="1"/>
  <c r="AG6" i="4" s="1"/>
  <c r="H19" i="4"/>
  <c r="H55" i="4"/>
  <c r="J55" i="4" s="1"/>
  <c r="AI4" i="4"/>
  <c r="AI2" i="4"/>
  <c r="AI3" i="4"/>
  <c r="S5" i="4"/>
  <c r="S6" i="4"/>
  <c r="F18" i="5"/>
  <c r="F43" i="6"/>
  <c r="H43" i="6" s="1"/>
  <c r="E18" i="1"/>
  <c r="G22" i="1"/>
  <c r="F42" i="1"/>
  <c r="H42" i="1" s="1"/>
  <c r="X28" i="4"/>
  <c r="AA6" i="4"/>
  <c r="Y28" i="4"/>
  <c r="AE33" i="4" s="1"/>
  <c r="Y5" i="4"/>
  <c r="AA6" i="5"/>
  <c r="AB6" i="5"/>
  <c r="AC6" i="5"/>
  <c r="Y27" i="5"/>
  <c r="Z5" i="5"/>
  <c r="Z27" i="5"/>
  <c r="X27" i="1"/>
  <c r="AA27" i="1" s="1"/>
  <c r="AC20" i="1"/>
  <c r="AC21" i="1"/>
  <c r="Y27" i="1"/>
  <c r="Z27" i="1" s="1"/>
  <c r="AC15" i="1"/>
  <c r="AC16" i="1"/>
  <c r="Z6" i="6"/>
  <c r="AA6" i="6" s="1"/>
  <c r="Y27" i="6"/>
  <c r="Z27" i="6" s="1"/>
  <c r="X27" i="6"/>
  <c r="AA27" i="6" s="1"/>
  <c r="W1" i="1"/>
  <c r="E6" i="1" s="1"/>
  <c r="C6" i="6" s="1"/>
  <c r="T5" i="5"/>
  <c r="T6" i="5"/>
  <c r="AJ3" i="5"/>
  <c r="AK3" i="5"/>
  <c r="E9" i="6"/>
  <c r="AE3" i="1"/>
  <c r="AE6" i="1" s="1"/>
  <c r="S5" i="1"/>
  <c r="S6" i="1"/>
  <c r="AG4" i="1"/>
  <c r="AG2" i="1"/>
  <c r="AG3" i="1"/>
  <c r="C143" i="10"/>
  <c r="F143" i="10" s="1"/>
  <c r="G143" i="10" s="1"/>
  <c r="C140" i="10"/>
  <c r="F140" i="10" s="1"/>
  <c r="G140" i="10" s="1"/>
  <c r="AI10" i="1"/>
  <c r="E10" i="4"/>
  <c r="E10" i="5"/>
  <c r="E10" i="6"/>
  <c r="AG6" i="1"/>
  <c r="AG5" i="1"/>
  <c r="AF3" i="6"/>
  <c r="AG3" i="6" s="1"/>
  <c r="AG6" i="6" s="1"/>
  <c r="S5" i="6"/>
  <c r="S6" i="6"/>
  <c r="C75" i="10"/>
  <c r="D75" i="10" s="1"/>
  <c r="AI2" i="6"/>
  <c r="Q1" i="1"/>
  <c r="I2" i="4"/>
  <c r="M16" i="1"/>
  <c r="G12" i="12"/>
  <c r="AA16" i="4"/>
  <c r="AB16" i="4" s="1"/>
  <c r="AA17" i="4"/>
  <c r="AB17" i="4" s="1"/>
  <c r="AA15" i="6"/>
  <c r="AB15" i="6" s="1"/>
  <c r="AA16" i="6"/>
  <c r="AB16" i="6" s="1"/>
  <c r="AC15" i="6"/>
  <c r="AC16" i="6"/>
  <c r="AB15" i="5"/>
  <c r="AC15" i="5" s="1"/>
  <c r="AB16" i="5"/>
  <c r="AC16" i="5" s="1"/>
  <c r="T4" i="5"/>
  <c r="V4" i="5"/>
  <c r="I2" i="5"/>
  <c r="S4" i="6"/>
  <c r="U4" i="6" s="1"/>
  <c r="M16" i="6"/>
  <c r="I2" i="6"/>
  <c r="S4" i="1"/>
  <c r="Z6" i="1"/>
  <c r="AA15" i="1"/>
  <c r="AB15" i="1" s="1"/>
  <c r="AA16" i="1"/>
  <c r="AB16" i="1" s="1"/>
  <c r="M17" i="1"/>
  <c r="O3" i="10"/>
  <c r="C107" i="10"/>
  <c r="D107" i="10" s="1"/>
  <c r="C108" i="10"/>
  <c r="D108" i="10" s="1"/>
  <c r="C62" i="10"/>
  <c r="F62" i="10" s="1"/>
  <c r="C65" i="10"/>
  <c r="D65" i="10" s="1"/>
  <c r="O2" i="10"/>
  <c r="C7" i="10"/>
  <c r="G7" i="10" s="1"/>
  <c r="C8" i="10"/>
  <c r="D8" i="10" s="1"/>
  <c r="F8" i="10" s="1"/>
  <c r="AD20" i="5"/>
  <c r="AE19" i="5" s="1"/>
  <c r="AD21" i="5"/>
  <c r="AJ21" i="5"/>
  <c r="V6" i="5"/>
  <c r="N31" i="5" s="1"/>
  <c r="V5" i="5"/>
  <c r="N30" i="5" s="1"/>
  <c r="L4" i="5"/>
  <c r="L6" i="5"/>
  <c r="I6" i="5"/>
  <c r="I4" i="5"/>
  <c r="C5" i="5"/>
  <c r="C3" i="5"/>
  <c r="C2" i="5"/>
  <c r="J4" i="1"/>
  <c r="J4" i="4" s="1"/>
  <c r="AC20" i="6"/>
  <c r="AI4" i="6"/>
  <c r="AI3" i="6"/>
  <c r="AI6" i="6"/>
  <c r="AI5" i="6"/>
  <c r="AC21" i="6"/>
  <c r="AI7" i="6"/>
  <c r="I6" i="6"/>
  <c r="L6" i="6"/>
  <c r="I4" i="6"/>
  <c r="C5" i="6"/>
  <c r="C3" i="6"/>
  <c r="C2" i="6"/>
  <c r="L4" i="6"/>
  <c r="C175" i="10"/>
  <c r="D175" i="10" s="1"/>
  <c r="C176" i="10"/>
  <c r="F176" i="10"/>
  <c r="G176" i="10" s="1"/>
  <c r="O1" i="10"/>
  <c r="D127" i="10"/>
  <c r="P110" i="10" s="1"/>
  <c r="C126" i="10"/>
  <c r="D126" i="10" s="1"/>
  <c r="F126" i="10" s="1"/>
  <c r="C90" i="10"/>
  <c r="D90" i="10" s="1"/>
  <c r="C42" i="10"/>
  <c r="D42" i="10" s="1"/>
  <c r="D137" i="10"/>
  <c r="E137" i="10"/>
  <c r="F137" i="10" s="1"/>
  <c r="G137" i="10"/>
  <c r="D138" i="10"/>
  <c r="E138" i="10" s="1"/>
  <c r="G138" i="10"/>
  <c r="C177" i="10"/>
  <c r="G177" i="10" s="1"/>
  <c r="C178" i="10"/>
  <c r="I178" i="10" s="1"/>
  <c r="D104" i="10"/>
  <c r="E104" i="10"/>
  <c r="F104" i="10" s="1"/>
  <c r="G104" i="10"/>
  <c r="D105" i="10"/>
  <c r="E105" i="10" s="1"/>
  <c r="G105" i="10"/>
  <c r="F127" i="10"/>
  <c r="G127" i="10" s="1"/>
  <c r="C128" i="10"/>
  <c r="G128" i="10" s="1"/>
  <c r="C129" i="10"/>
  <c r="G129" i="10" s="1"/>
  <c r="D59" i="10"/>
  <c r="E59" i="10"/>
  <c r="F59" i="10" s="1"/>
  <c r="G59" i="10"/>
  <c r="D60" i="10"/>
  <c r="E60" i="10" s="1"/>
  <c r="G60" i="10"/>
  <c r="C91" i="10"/>
  <c r="D91" i="10" s="1"/>
  <c r="C92" i="10"/>
  <c r="I92" i="10" s="1"/>
  <c r="G5" i="10"/>
  <c r="D5" i="10"/>
  <c r="E5" i="10" s="1"/>
  <c r="G4" i="10"/>
  <c r="E4" i="10"/>
  <c r="F4" i="10" s="1"/>
  <c r="D4" i="10"/>
  <c r="C43" i="10"/>
  <c r="F43" i="10" s="1"/>
  <c r="M43" i="10" s="1"/>
  <c r="AG7" i="1"/>
  <c r="AI5" i="4"/>
  <c r="AI6" i="4"/>
  <c r="AI7" i="4"/>
  <c r="L4" i="4"/>
  <c r="L6" i="4"/>
  <c r="I6" i="4"/>
  <c r="I4" i="4"/>
  <c r="C5" i="4"/>
  <c r="C3" i="4"/>
  <c r="C2" i="4"/>
  <c r="B2" i="12"/>
  <c r="AA27" i="5"/>
  <c r="E18" i="5"/>
  <c r="S4" i="4"/>
  <c r="E18" i="6"/>
  <c r="AB27" i="5"/>
  <c r="L20" i="1"/>
  <c r="AD19" i="6" l="1"/>
  <c r="AD20" i="6" s="1"/>
  <c r="Y20" i="6" s="1"/>
  <c r="AD19" i="1"/>
  <c r="AD20" i="1" s="1"/>
  <c r="AE21" i="5"/>
  <c r="AE20" i="5"/>
  <c r="R24" i="1"/>
  <c r="O9" i="1"/>
  <c r="O11" i="1" s="1"/>
  <c r="O18" i="1" s="1"/>
  <c r="O23" i="10" s="1"/>
  <c r="J44" i="1"/>
  <c r="C42" i="1"/>
  <c r="R21" i="1"/>
  <c r="U21" i="1"/>
  <c r="M18" i="1"/>
  <c r="U24" i="1"/>
  <c r="C43" i="1"/>
  <c r="Y3" i="1"/>
  <c r="X24" i="1" s="1"/>
  <c r="AA24" i="1" s="1"/>
  <c r="O6" i="1"/>
  <c r="AB5" i="5"/>
  <c r="T47" i="5"/>
  <c r="S47" i="5"/>
  <c r="O5" i="6"/>
  <c r="O4" i="6"/>
  <c r="L21" i="1"/>
  <c r="L22" i="1"/>
  <c r="M22" i="5"/>
  <c r="O36" i="5" s="1"/>
  <c r="P36" i="5" s="1"/>
  <c r="AE32" i="4"/>
  <c r="L22" i="6"/>
  <c r="AE31" i="4"/>
  <c r="Q4" i="1"/>
  <c r="D34" i="1"/>
  <c r="F3" i="10" s="1"/>
  <c r="F6" i="10" s="1"/>
  <c r="F22" i="10" s="1"/>
  <c r="Q6" i="1"/>
  <c r="Y9" i="1"/>
  <c r="Q36" i="1"/>
  <c r="M23" i="1"/>
  <c r="F10" i="5"/>
  <c r="S46" i="4"/>
  <c r="R46" i="4"/>
  <c r="Y34" i="4"/>
  <c r="Y38" i="4" s="1"/>
  <c r="AI34" i="4"/>
  <c r="AI38" i="4" s="1"/>
  <c r="AC34" i="4"/>
  <c r="AC38" i="4" s="1"/>
  <c r="Z28" i="4"/>
  <c r="AG34" i="4" s="1"/>
  <c r="AH34" i="4"/>
  <c r="AH38" i="4" s="1"/>
  <c r="AB34" i="4"/>
  <c r="AB38" i="4" s="1"/>
  <c r="AF34" i="4"/>
  <c r="AF38" i="4" s="1"/>
  <c r="Z34" i="4"/>
  <c r="Z38" i="4" s="1"/>
  <c r="AE38" i="4"/>
  <c r="P46" i="4"/>
  <c r="P45" i="4"/>
  <c r="F75" i="10"/>
  <c r="Z5" i="4"/>
  <c r="AA5" i="4" s="1"/>
  <c r="G175" i="10"/>
  <c r="AD20" i="4"/>
  <c r="AD21" i="4" s="1"/>
  <c r="Y5" i="6"/>
  <c r="C48" i="4"/>
  <c r="D48" i="4" s="1"/>
  <c r="E48" i="4" s="1"/>
  <c r="M13" i="5"/>
  <c r="Q1" i="6"/>
  <c r="I48" i="4"/>
  <c r="J48" i="4" s="1"/>
  <c r="K48" i="4" s="1"/>
  <c r="G178" i="10"/>
  <c r="K42" i="4"/>
  <c r="X27" i="4"/>
  <c r="I177" i="10"/>
  <c r="D177" i="10"/>
  <c r="E49" i="4"/>
  <c r="E43" i="4"/>
  <c r="Y27" i="4"/>
  <c r="AA28" i="4"/>
  <c r="X34" i="4" s="1"/>
  <c r="H54" i="4"/>
  <c r="J54" i="4" s="1"/>
  <c r="AD5" i="5"/>
  <c r="F43" i="1"/>
  <c r="H43" i="1" s="1"/>
  <c r="G8" i="10"/>
  <c r="O109" i="10"/>
  <c r="AA5" i="5"/>
  <c r="AL3" i="5"/>
  <c r="AL6" i="5" s="1"/>
  <c r="Z26" i="5"/>
  <c r="AC5" i="5"/>
  <c r="Y26" i="5"/>
  <c r="D128" i="10"/>
  <c r="L128" i="10" s="1"/>
  <c r="I91" i="10"/>
  <c r="G92" i="10"/>
  <c r="D62" i="10"/>
  <c r="G62" i="10"/>
  <c r="Y5" i="1"/>
  <c r="G42" i="10"/>
  <c r="D43" i="10"/>
  <c r="G43" i="10"/>
  <c r="Q1" i="4"/>
  <c r="D7" i="10"/>
  <c r="R1" i="5"/>
  <c r="I42" i="10"/>
  <c r="F178" i="10"/>
  <c r="M178" i="10" s="1"/>
  <c r="D178" i="10"/>
  <c r="D140" i="10"/>
  <c r="D143" i="10"/>
  <c r="F129" i="10"/>
  <c r="M129" i="10" s="1"/>
  <c r="I129" i="10"/>
  <c r="I128" i="10"/>
  <c r="D129" i="10"/>
  <c r="L42" i="10"/>
  <c r="E42" i="10"/>
  <c r="L20" i="4"/>
  <c r="G21" i="4"/>
  <c r="L21" i="4" s="1"/>
  <c r="L21" i="6"/>
  <c r="L20" i="5"/>
  <c r="G21" i="5"/>
  <c r="L21" i="5" s="1"/>
  <c r="I43" i="10"/>
  <c r="F7" i="10"/>
  <c r="M13" i="4"/>
  <c r="O40" i="6"/>
  <c r="E91" i="10"/>
  <c r="L91" i="10"/>
  <c r="P78" i="10"/>
  <c r="G91" i="10"/>
  <c r="F92" i="10"/>
  <c r="M92" i="10" s="1"/>
  <c r="G75" i="10"/>
  <c r="D92" i="10"/>
  <c r="J4" i="6"/>
  <c r="C6" i="5"/>
  <c r="C6" i="4"/>
  <c r="B4" i="12"/>
  <c r="J4" i="5"/>
  <c r="AD21" i="6" l="1"/>
  <c r="Y21" i="6" s="1"/>
  <c r="Z20" i="6"/>
  <c r="AB20" i="6" s="1"/>
  <c r="N6" i="10"/>
  <c r="AD21" i="1"/>
  <c r="Y21" i="1" s="1"/>
  <c r="C23" i="10"/>
  <c r="D23" i="10" s="1"/>
  <c r="C14" i="10"/>
  <c r="L44" i="10" s="1"/>
  <c r="Y24" i="1"/>
  <c r="Z24" i="1" s="1"/>
  <c r="L23" i="6"/>
  <c r="F16" i="10"/>
  <c r="F20" i="10" s="1"/>
  <c r="L48" i="10" s="1"/>
  <c r="R9" i="1"/>
  <c r="R22" i="1" s="1"/>
  <c r="C16" i="10"/>
  <c r="C20" i="10" s="1"/>
  <c r="R50" i="1"/>
  <c r="C17" i="10"/>
  <c r="D49" i="10" s="1"/>
  <c r="G23" i="6"/>
  <c r="Y9" i="6" s="1"/>
  <c r="AE9" i="6" s="1"/>
  <c r="G23" i="10"/>
  <c r="C15" i="10"/>
  <c r="F15" i="10" s="1"/>
  <c r="D6" i="10"/>
  <c r="C10" i="10" s="1"/>
  <c r="C12" i="10" s="1"/>
  <c r="Z9" i="1"/>
  <c r="AD9" i="1"/>
  <c r="AE9" i="1" s="1"/>
  <c r="Y25" i="1"/>
  <c r="Z25" i="1" s="1"/>
  <c r="X25" i="1"/>
  <c r="AA25" i="1" s="1"/>
  <c r="O27" i="1"/>
  <c r="L22" i="4"/>
  <c r="F14" i="10"/>
  <c r="Z3" i="1"/>
  <c r="D41" i="1" s="1"/>
  <c r="J42" i="1" s="1"/>
  <c r="O12" i="1"/>
  <c r="O19" i="1" s="1"/>
  <c r="N7" i="10" s="1"/>
  <c r="L22" i="5"/>
  <c r="U9" i="1"/>
  <c r="U22" i="1" s="1"/>
  <c r="F10" i="10"/>
  <c r="F12" i="10" s="1"/>
  <c r="S50" i="1"/>
  <c r="I24" i="1"/>
  <c r="O21" i="1"/>
  <c r="Z20" i="5"/>
  <c r="AA20" i="5"/>
  <c r="AC20" i="5" s="1"/>
  <c r="AB21" i="5"/>
  <c r="AC21" i="5" s="1"/>
  <c r="Z21" i="5"/>
  <c r="C32" i="10"/>
  <c r="D32" i="10" s="1"/>
  <c r="F32" i="10" s="1"/>
  <c r="G32" i="10" s="1"/>
  <c r="F23" i="10"/>
  <c r="C9" i="10"/>
  <c r="C35" i="10" s="1"/>
  <c r="F9" i="10"/>
  <c r="C11" i="10" s="1"/>
  <c r="F11" i="10" s="1"/>
  <c r="C19" i="10"/>
  <c r="F19" i="10" s="1"/>
  <c r="C33" i="10"/>
  <c r="D33" i="10" s="1"/>
  <c r="F33" i="10" s="1"/>
  <c r="G33" i="10" s="1"/>
  <c r="Y20" i="1"/>
  <c r="Z20" i="1"/>
  <c r="AB20" i="1" s="1"/>
  <c r="AD5" i="1"/>
  <c r="AE5" i="1" s="1"/>
  <c r="S52" i="1"/>
  <c r="R52" i="1"/>
  <c r="Y26" i="6"/>
  <c r="Z26" i="6" s="1"/>
  <c r="R47" i="6"/>
  <c r="S47" i="6"/>
  <c r="AB33" i="4"/>
  <c r="AB37" i="4" s="1"/>
  <c r="AH33" i="4"/>
  <c r="AH37" i="4" s="1"/>
  <c r="Z33" i="4"/>
  <c r="Z37" i="4" s="1"/>
  <c r="AF33" i="4"/>
  <c r="AF37" i="4" s="1"/>
  <c r="Y33" i="4"/>
  <c r="Y37" i="4" s="1"/>
  <c r="AI33" i="4"/>
  <c r="AI37" i="4" s="1"/>
  <c r="AC33" i="4"/>
  <c r="AC37" i="4" s="1"/>
  <c r="AE37" i="4"/>
  <c r="AA33" i="4"/>
  <c r="AA32" i="4"/>
  <c r="AA31" i="4"/>
  <c r="AA34" i="4"/>
  <c r="AD34" i="4"/>
  <c r="AD38" i="4" s="1"/>
  <c r="AD33" i="4"/>
  <c r="AD37" i="4" s="1"/>
  <c r="AA27" i="4"/>
  <c r="X33" i="4" s="1"/>
  <c r="AD22" i="4"/>
  <c r="AA22" i="4" s="1"/>
  <c r="Z5" i="6"/>
  <c r="AA5" i="6" s="1"/>
  <c r="X26" i="6"/>
  <c r="AA26" i="6" s="1"/>
  <c r="AA20" i="6"/>
  <c r="Y21" i="4"/>
  <c r="Z21" i="4"/>
  <c r="Z5" i="1"/>
  <c r="AE5" i="5"/>
  <c r="L177" i="10"/>
  <c r="E177" i="10"/>
  <c r="Z27" i="4"/>
  <c r="AG33" i="4" s="1"/>
  <c r="AB26" i="5"/>
  <c r="AA26" i="5"/>
  <c r="E128" i="10"/>
  <c r="F128" i="10" s="1"/>
  <c r="M128" i="10" s="1"/>
  <c r="X26" i="1"/>
  <c r="Y26" i="1"/>
  <c r="L43" i="10"/>
  <c r="E43" i="10"/>
  <c r="J43" i="10" s="1"/>
  <c r="G22" i="4"/>
  <c r="G22" i="5"/>
  <c r="F28" i="10"/>
  <c r="F30" i="10"/>
  <c r="C30" i="10"/>
  <c r="D28" i="10"/>
  <c r="C31" i="10"/>
  <c r="F26" i="10"/>
  <c r="D30" i="10"/>
  <c r="G30" i="10"/>
  <c r="L178" i="10"/>
  <c r="E178" i="10"/>
  <c r="J178" i="10" s="1"/>
  <c r="E129" i="10"/>
  <c r="J129" i="10" s="1"/>
  <c r="L129" i="10"/>
  <c r="E45" i="6"/>
  <c r="J42" i="10"/>
  <c r="F42" i="10"/>
  <c r="M42" i="10" s="1"/>
  <c r="E92" i="10"/>
  <c r="J92" i="10" s="1"/>
  <c r="L92" i="10"/>
  <c r="F91" i="10"/>
  <c r="M91" i="10" s="1"/>
  <c r="J91" i="10"/>
  <c r="C18" i="10" l="1"/>
  <c r="AA21" i="6"/>
  <c r="Y32" i="6" s="1"/>
  <c r="C43" i="6"/>
  <c r="F48" i="10"/>
  <c r="C24" i="10"/>
  <c r="F24" i="10" s="1"/>
  <c r="F52" i="10"/>
  <c r="AA21" i="1"/>
  <c r="Y31" i="1" s="1"/>
  <c r="D22" i="10"/>
  <c r="D26" i="10" s="1"/>
  <c r="AF32" i="5"/>
  <c r="AF36" i="5" s="1"/>
  <c r="C52" i="10"/>
  <c r="D48" i="10"/>
  <c r="R10" i="1"/>
  <c r="C53" i="10"/>
  <c r="F17" i="10"/>
  <c r="F49" i="10" s="1"/>
  <c r="O6" i="6"/>
  <c r="I25" i="6" s="1"/>
  <c r="O9" i="6"/>
  <c r="Y3" i="6"/>
  <c r="M25" i="6"/>
  <c r="N36" i="6" s="1"/>
  <c r="O36" i="6" s="1"/>
  <c r="U10" i="1"/>
  <c r="AE5" i="6"/>
  <c r="AF5" i="6" s="1"/>
  <c r="AG5" i="6" s="1"/>
  <c r="Q6" i="6"/>
  <c r="R21" i="6"/>
  <c r="Z9" i="6"/>
  <c r="AA9" i="6" s="1"/>
  <c r="U24" i="6"/>
  <c r="Y25" i="6"/>
  <c r="D35" i="6"/>
  <c r="F58" i="10" s="1"/>
  <c r="M15" i="6"/>
  <c r="Q36" i="6"/>
  <c r="C21" i="10"/>
  <c r="I53" i="10" s="1"/>
  <c r="Q4" i="6"/>
  <c r="AI5" i="5"/>
  <c r="AJ5" i="5" s="1"/>
  <c r="B38" i="6"/>
  <c r="X25" i="6"/>
  <c r="U21" i="6"/>
  <c r="R24" i="6"/>
  <c r="F42" i="6"/>
  <c r="S8" i="6"/>
  <c r="C64" i="10" s="1"/>
  <c r="AB20" i="5"/>
  <c r="F45" i="10"/>
  <c r="AF31" i="1"/>
  <c r="F44" i="10"/>
  <c r="AG32" i="5"/>
  <c r="AG36" i="5" s="1"/>
  <c r="AA21" i="5"/>
  <c r="AD32" i="5" s="1"/>
  <c r="AG33" i="5"/>
  <c r="AG37" i="5" s="1"/>
  <c r="AF33" i="5"/>
  <c r="AF37" i="5" s="1"/>
  <c r="F18" i="10"/>
  <c r="I44" i="10" s="1"/>
  <c r="U21" i="4"/>
  <c r="Y9" i="4"/>
  <c r="C13" i="10"/>
  <c r="F13" i="10" s="1"/>
  <c r="O22" i="10"/>
  <c r="C25" i="10" s="1"/>
  <c r="C27" i="10" s="1"/>
  <c r="C29" i="10" s="1"/>
  <c r="G29" i="10" s="1"/>
  <c r="J43" i="1"/>
  <c r="D18" i="1" s="1"/>
  <c r="O22" i="1"/>
  <c r="O32" i="10" s="1"/>
  <c r="C34" i="10" s="1"/>
  <c r="D34" i="10" s="1"/>
  <c r="F34" i="10" s="1"/>
  <c r="G34" i="10" s="1"/>
  <c r="O33" i="10"/>
  <c r="C37" i="10" s="1"/>
  <c r="Z3" i="5"/>
  <c r="T45" i="5" s="1"/>
  <c r="Z9" i="5"/>
  <c r="C45" i="10"/>
  <c r="AF9" i="6"/>
  <c r="AG9" i="6" s="1"/>
  <c r="AA20" i="1"/>
  <c r="F35" i="10"/>
  <c r="L45" i="10"/>
  <c r="Z21" i="1"/>
  <c r="AF30" i="1"/>
  <c r="AF33" i="1"/>
  <c r="F41" i="5"/>
  <c r="S45" i="6"/>
  <c r="R45" i="6"/>
  <c r="D45" i="4"/>
  <c r="E45" i="4" s="1"/>
  <c r="R4" i="5"/>
  <c r="F142" i="10"/>
  <c r="G142" i="10" s="1"/>
  <c r="AB21" i="4"/>
  <c r="Y22" i="4"/>
  <c r="Z22" i="4" s="1"/>
  <c r="Z21" i="6"/>
  <c r="AF33" i="6"/>
  <c r="AF32" i="6"/>
  <c r="AA21" i="4"/>
  <c r="AB22" i="4"/>
  <c r="O9" i="4"/>
  <c r="O18" i="4" s="1"/>
  <c r="P21" i="4" s="1"/>
  <c r="Q155" i="10" s="1"/>
  <c r="M15" i="4"/>
  <c r="AD6" i="5"/>
  <c r="AE6" i="5" s="1"/>
  <c r="AC33" i="5" s="1"/>
  <c r="AC37" i="5" s="1"/>
  <c r="R36" i="5"/>
  <c r="F106" i="10"/>
  <c r="P9" i="5"/>
  <c r="P27" i="5" s="1"/>
  <c r="P6" i="5"/>
  <c r="I24" i="5" s="1"/>
  <c r="M21" i="4"/>
  <c r="N36" i="4" s="1"/>
  <c r="Q36" i="4"/>
  <c r="AA32" i="5"/>
  <c r="AA36" i="5" s="1"/>
  <c r="C44" i="4"/>
  <c r="C50" i="4" s="1"/>
  <c r="Q4" i="4"/>
  <c r="AE5" i="4"/>
  <c r="AF5" i="4" s="1"/>
  <c r="AG5" i="4" s="1"/>
  <c r="D34" i="5"/>
  <c r="S9" i="5" s="1"/>
  <c r="D34" i="4"/>
  <c r="F136" i="10" s="1"/>
  <c r="S8" i="4"/>
  <c r="V8" i="4" s="1"/>
  <c r="Q6" i="4"/>
  <c r="Y3" i="4"/>
  <c r="F108" i="10"/>
  <c r="G108" i="10" s="1"/>
  <c r="S21" i="5"/>
  <c r="C141" i="10"/>
  <c r="D141" i="10" s="1"/>
  <c r="D44" i="4"/>
  <c r="D50" i="4" s="1"/>
  <c r="J44" i="4"/>
  <c r="J50" i="4" s="1"/>
  <c r="U24" i="4"/>
  <c r="J45" i="4"/>
  <c r="J51" i="4" s="1"/>
  <c r="K51" i="4" s="1"/>
  <c r="R24" i="4"/>
  <c r="G141" i="10"/>
  <c r="O6" i="4"/>
  <c r="I24" i="4" s="1"/>
  <c r="R21" i="4"/>
  <c r="Z32" i="5"/>
  <c r="Z36" i="5" s="1"/>
  <c r="F177" i="10"/>
  <c r="M177" i="10" s="1"/>
  <c r="J177" i="10"/>
  <c r="J128" i="10"/>
  <c r="Y32" i="1"/>
  <c r="AA26" i="1"/>
  <c r="AF32" i="1"/>
  <c r="Z26" i="1"/>
  <c r="V21" i="5"/>
  <c r="D41" i="5"/>
  <c r="T8" i="5"/>
  <c r="W8" i="5" s="1"/>
  <c r="G106" i="10"/>
  <c r="R6" i="5"/>
  <c r="M15" i="5"/>
  <c r="F107" i="10"/>
  <c r="G107" i="10" s="1"/>
  <c r="S24" i="5"/>
  <c r="V24" i="5"/>
  <c r="D31" i="10"/>
  <c r="G31" i="10"/>
  <c r="F31" i="10"/>
  <c r="AD3" i="5"/>
  <c r="I45" i="10"/>
  <c r="Y24" i="6"/>
  <c r="Z3" i="6"/>
  <c r="AA3" i="6" s="1"/>
  <c r="D42" i="6"/>
  <c r="X24" i="6"/>
  <c r="J48" i="10"/>
  <c r="O27" i="6"/>
  <c r="O11" i="6"/>
  <c r="O18" i="6" s="1"/>
  <c r="O21" i="6" s="1"/>
  <c r="C74" i="10"/>
  <c r="O12" i="6"/>
  <c r="O19" i="6" s="1"/>
  <c r="O22" i="6" s="1"/>
  <c r="O83" i="10" s="1"/>
  <c r="I52" i="10"/>
  <c r="C44" i="10"/>
  <c r="C46" i="4"/>
  <c r="I44" i="4"/>
  <c r="D51" i="4"/>
  <c r="E51" i="4" s="1"/>
  <c r="AC9" i="1" l="1"/>
  <c r="AC5" i="1"/>
  <c r="AC6" i="1"/>
  <c r="AC3" i="1"/>
  <c r="D24" i="1"/>
  <c r="AB33" i="6"/>
  <c r="AB32" i="6"/>
  <c r="AI33" i="6"/>
  <c r="AI32" i="6"/>
  <c r="AI36" i="6" s="1"/>
  <c r="Y33" i="6"/>
  <c r="AB21" i="6"/>
  <c r="AD32" i="6" s="1"/>
  <c r="AD36" i="6" s="1"/>
  <c r="Y30" i="1"/>
  <c r="F53" i="10"/>
  <c r="AB21" i="1"/>
  <c r="Z32" i="1" s="1"/>
  <c r="Z36" i="1" s="1"/>
  <c r="AB32" i="1"/>
  <c r="AB36" i="1" s="1"/>
  <c r="AC33" i="1"/>
  <c r="AC37" i="1" s="1"/>
  <c r="Y33" i="1"/>
  <c r="Y37" i="1" s="1"/>
  <c r="G24" i="10"/>
  <c r="F29" i="10"/>
  <c r="D24" i="10"/>
  <c r="AI30" i="1"/>
  <c r="AI34" i="1" s="1"/>
  <c r="AI32" i="1"/>
  <c r="AI36" i="1" s="1"/>
  <c r="AH32" i="1"/>
  <c r="AH36" i="1" s="1"/>
  <c r="AB30" i="1"/>
  <c r="AB34" i="1" s="1"/>
  <c r="AC32" i="1"/>
  <c r="AC36" i="1" s="1"/>
  <c r="AC22" i="5"/>
  <c r="AD36" i="5"/>
  <c r="AE33" i="5"/>
  <c r="AE37" i="5" s="1"/>
  <c r="AI32" i="5"/>
  <c r="AI36" i="5" s="1"/>
  <c r="AH32" i="5"/>
  <c r="AH36" i="5" s="1"/>
  <c r="AB32" i="5"/>
  <c r="AB36" i="5" s="1"/>
  <c r="Y32" i="5"/>
  <c r="AC32" i="5"/>
  <c r="AC36" i="5" s="1"/>
  <c r="AH33" i="5"/>
  <c r="AH37" i="5" s="1"/>
  <c r="AJ32" i="5"/>
  <c r="AJ36" i="5" s="1"/>
  <c r="AI33" i="5"/>
  <c r="AI37" i="5" s="1"/>
  <c r="AE32" i="5"/>
  <c r="AE36" i="5" s="1"/>
  <c r="Z22" i="5"/>
  <c r="AK5" i="5"/>
  <c r="V8" i="6"/>
  <c r="J49" i="10"/>
  <c r="F21" i="10"/>
  <c r="L53" i="10" s="1"/>
  <c r="AH30" i="1"/>
  <c r="AH34" i="1" s="1"/>
  <c r="AF37" i="1"/>
  <c r="Z33" i="1"/>
  <c r="Z37" i="1" s="1"/>
  <c r="AF34" i="1"/>
  <c r="Z30" i="1"/>
  <c r="Z34" i="1" s="1"/>
  <c r="AE31" i="1"/>
  <c r="AB3" i="5"/>
  <c r="Z24" i="5"/>
  <c r="AA24" i="5" s="1"/>
  <c r="AH30" i="5" s="1"/>
  <c r="AH34" i="5" s="1"/>
  <c r="S45" i="5"/>
  <c r="AC3" i="5"/>
  <c r="Y24" i="5"/>
  <c r="AB24" i="5" s="1"/>
  <c r="AE30" i="5" s="1"/>
  <c r="AE34" i="5" s="1"/>
  <c r="AA3" i="5"/>
  <c r="P12" i="5"/>
  <c r="P19" i="5" s="1"/>
  <c r="P22" i="5" s="1"/>
  <c r="O120" i="10" s="1"/>
  <c r="R9" i="6"/>
  <c r="R22" i="6" s="1"/>
  <c r="U9" i="6"/>
  <c r="U22" i="6" s="1"/>
  <c r="P11" i="5"/>
  <c r="P18" i="5" s="1"/>
  <c r="AB31" i="6"/>
  <c r="G27" i="10"/>
  <c r="D27" i="10"/>
  <c r="F25" i="10"/>
  <c r="F27" i="10"/>
  <c r="D29" i="10"/>
  <c r="D25" i="10"/>
  <c r="G25" i="10"/>
  <c r="H42" i="6"/>
  <c r="J43" i="6" s="1"/>
  <c r="G19" i="6" s="1"/>
  <c r="AD9" i="6" s="1"/>
  <c r="C39" i="10"/>
  <c r="V9" i="5"/>
  <c r="V10" i="5" s="1"/>
  <c r="F39" i="10"/>
  <c r="F37" i="10"/>
  <c r="L52" i="10"/>
  <c r="AH31" i="1"/>
  <c r="O19" i="4"/>
  <c r="P22" i="4" s="1"/>
  <c r="P155" i="10" s="1"/>
  <c r="C156" i="10"/>
  <c r="D156" i="10" s="1"/>
  <c r="O11" i="4"/>
  <c r="R156" i="10" s="1"/>
  <c r="C41" i="10"/>
  <c r="C36" i="10"/>
  <c r="D36" i="10" s="1"/>
  <c r="F36" i="10" s="1"/>
  <c r="G36" i="10" s="1"/>
  <c r="F41" i="10"/>
  <c r="R45" i="4"/>
  <c r="AE9" i="4"/>
  <c r="AA9" i="4"/>
  <c r="Y26" i="4"/>
  <c r="X26" i="4"/>
  <c r="AE36" i="4" s="1"/>
  <c r="Z9" i="4"/>
  <c r="S45" i="4"/>
  <c r="AC31" i="1"/>
  <c r="O27" i="4"/>
  <c r="R9" i="4"/>
  <c r="R22" i="4" s="1"/>
  <c r="S44" i="4"/>
  <c r="R44" i="4"/>
  <c r="AB31" i="1"/>
  <c r="U9" i="4"/>
  <c r="AH33" i="1"/>
  <c r="AH37" i="1" s="1"/>
  <c r="AB33" i="1"/>
  <c r="AB37" i="1" s="1"/>
  <c r="T2" i="5"/>
  <c r="AI31" i="1"/>
  <c r="O12" i="4"/>
  <c r="O156" i="10" s="1"/>
  <c r="F172" i="10" s="1"/>
  <c r="O15" i="1"/>
  <c r="Y25" i="5"/>
  <c r="AF31" i="5" s="1"/>
  <c r="AF35" i="5" s="1"/>
  <c r="AD9" i="5"/>
  <c r="AC9" i="5"/>
  <c r="AI9" i="5"/>
  <c r="AB9" i="5"/>
  <c r="AA9" i="5"/>
  <c r="Z25" i="5"/>
  <c r="AG31" i="5" s="1"/>
  <c r="AG35" i="5" s="1"/>
  <c r="AA31" i="1"/>
  <c r="AA35" i="1" s="1"/>
  <c r="AE30" i="1"/>
  <c r="AE34" i="1" s="1"/>
  <c r="U6" i="1"/>
  <c r="C115" i="10"/>
  <c r="C120" i="10" s="1"/>
  <c r="F103" i="10"/>
  <c r="C109" i="10" s="1"/>
  <c r="F109" i="10" s="1"/>
  <c r="X32" i="1"/>
  <c r="AE33" i="1"/>
  <c r="AE37" i="1" s="1"/>
  <c r="AC30" i="1"/>
  <c r="AC34" i="1" s="1"/>
  <c r="AG30" i="1"/>
  <c r="AG34" i="1" s="1"/>
  <c r="Y22" i="1"/>
  <c r="AG33" i="1"/>
  <c r="AG37" i="1" s="1"/>
  <c r="AI33" i="1"/>
  <c r="AI37" i="1" s="1"/>
  <c r="AG31" i="1"/>
  <c r="AG35" i="1" s="1"/>
  <c r="Y34" i="1"/>
  <c r="AD30" i="1"/>
  <c r="X31" i="1"/>
  <c r="AE32" i="1"/>
  <c r="AE36" i="1" s="1"/>
  <c r="X33" i="1"/>
  <c r="X30" i="1"/>
  <c r="AF36" i="1"/>
  <c r="AB22" i="1"/>
  <c r="AD31" i="1"/>
  <c r="AA30" i="1"/>
  <c r="AA34" i="1" s="1"/>
  <c r="AD33" i="1"/>
  <c r="AA33" i="1"/>
  <c r="AA37" i="1" s="1"/>
  <c r="H41" i="5"/>
  <c r="G17" i="5" s="1"/>
  <c r="AH3" i="5" s="1"/>
  <c r="Y33" i="5"/>
  <c r="Y37" i="5" s="1"/>
  <c r="AA33" i="5"/>
  <c r="AA37" i="5" s="1"/>
  <c r="AB33" i="5"/>
  <c r="AB37" i="5" s="1"/>
  <c r="AD33" i="5"/>
  <c r="AD37" i="5" s="1"/>
  <c r="AJ33" i="5"/>
  <c r="AJ37" i="5" s="1"/>
  <c r="AC33" i="6"/>
  <c r="AC37" i="6" s="1"/>
  <c r="AD31" i="4"/>
  <c r="Z33" i="5"/>
  <c r="Z37" i="5" s="1"/>
  <c r="AB37" i="6"/>
  <c r="AH33" i="6"/>
  <c r="AH37" i="6" s="1"/>
  <c r="AH32" i="6"/>
  <c r="AH36" i="6" s="1"/>
  <c r="AI37" i="6"/>
  <c r="AC32" i="6"/>
  <c r="AC36" i="6" s="1"/>
  <c r="AB36" i="6"/>
  <c r="Z3" i="4"/>
  <c r="AA3" i="4" s="1"/>
  <c r="E44" i="4"/>
  <c r="E46" i="4" s="1"/>
  <c r="D46" i="4" s="1"/>
  <c r="X25" i="4"/>
  <c r="AA37" i="4"/>
  <c r="X38" i="4"/>
  <c r="AG38" i="4"/>
  <c r="AG37" i="4"/>
  <c r="X37" i="4"/>
  <c r="U6" i="4"/>
  <c r="O36" i="4"/>
  <c r="K45" i="4"/>
  <c r="Y25" i="4"/>
  <c r="Z25" i="4" s="1"/>
  <c r="AG31" i="4" s="1"/>
  <c r="AD32" i="1"/>
  <c r="AA32" i="1"/>
  <c r="AA36" i="1" s="1"/>
  <c r="AB30" i="6"/>
  <c r="AB34" i="6" s="1"/>
  <c r="F156" i="10"/>
  <c r="C165" i="10"/>
  <c r="G156" i="10"/>
  <c r="I46" i="4"/>
  <c r="K44" i="4"/>
  <c r="C52" i="4"/>
  <c r="I50" i="4"/>
  <c r="E50" i="4"/>
  <c r="E52" i="4" s="1"/>
  <c r="C110" i="10"/>
  <c r="S10" i="5"/>
  <c r="AL5" i="5"/>
  <c r="S22" i="5"/>
  <c r="G139" i="10"/>
  <c r="D139" i="10"/>
  <c r="F144" i="10"/>
  <c r="C142" i="10" s="1"/>
  <c r="C144" i="10"/>
  <c r="O15" i="6"/>
  <c r="O73" i="10"/>
  <c r="C76" i="10" s="1"/>
  <c r="O74" i="10"/>
  <c r="N61" i="10"/>
  <c r="AA24" i="6"/>
  <c r="AC30" i="6"/>
  <c r="AC34" i="6" s="1"/>
  <c r="Y30" i="6"/>
  <c r="AI30" i="6"/>
  <c r="AI34" i="6" s="1"/>
  <c r="O84" i="10"/>
  <c r="N62" i="10"/>
  <c r="AF30" i="6"/>
  <c r="AH30" i="6"/>
  <c r="AH34" i="6" s="1"/>
  <c r="Z24" i="6"/>
  <c r="N107" i="10"/>
  <c r="Q156" i="10"/>
  <c r="N139" i="10"/>
  <c r="U10" i="4"/>
  <c r="C151" i="10"/>
  <c r="C149" i="10"/>
  <c r="F150" i="10"/>
  <c r="C154" i="10"/>
  <c r="F151" i="10"/>
  <c r="F83" i="10"/>
  <c r="G83" i="10" s="1"/>
  <c r="F74" i="10"/>
  <c r="G74" i="10"/>
  <c r="C83" i="10"/>
  <c r="D74" i="10"/>
  <c r="C68" i="10"/>
  <c r="C70" i="10"/>
  <c r="C72" i="10"/>
  <c r="C67" i="10"/>
  <c r="C66" i="10"/>
  <c r="C71" i="10"/>
  <c r="F61" i="10"/>
  <c r="F63" i="10" s="1"/>
  <c r="C69" i="10"/>
  <c r="D61" i="10"/>
  <c r="D63" i="10" s="1"/>
  <c r="D64" i="10"/>
  <c r="G64" i="10"/>
  <c r="F64" i="10"/>
  <c r="U22" i="4"/>
  <c r="K45" i="6"/>
  <c r="H19" i="6" s="1"/>
  <c r="L49" i="10"/>
  <c r="AE33" i="6" l="1"/>
  <c r="AE37" i="6" s="1"/>
  <c r="AG30" i="6"/>
  <c r="AF37" i="6"/>
  <c r="AF34" i="6"/>
  <c r="AD30" i="6"/>
  <c r="AF36" i="6"/>
  <c r="AE32" i="6"/>
  <c r="AE36" i="6" s="1"/>
  <c r="AD33" i="6"/>
  <c r="AD37" i="6" s="1"/>
  <c r="AB22" i="6"/>
  <c r="Y37" i="6"/>
  <c r="AG32" i="6"/>
  <c r="AG36" i="6" s="1"/>
  <c r="Z32" i="6"/>
  <c r="Z36" i="6" s="1"/>
  <c r="U6" i="6"/>
  <c r="AG33" i="6"/>
  <c r="AG37" i="6" s="1"/>
  <c r="Y34" i="6"/>
  <c r="Z30" i="6"/>
  <c r="Z34" i="6" s="1"/>
  <c r="Y36" i="6"/>
  <c r="X32" i="6"/>
  <c r="X36" i="6" s="1"/>
  <c r="Z31" i="6"/>
  <c r="AE30" i="6"/>
  <c r="AE34" i="6" s="1"/>
  <c r="Y22" i="6"/>
  <c r="AA32" i="6"/>
  <c r="AA36" i="6" s="1"/>
  <c r="Z33" i="6"/>
  <c r="Z37" i="6" s="1"/>
  <c r="AA33" i="6"/>
  <c r="AA37" i="6" s="1"/>
  <c r="X33" i="6"/>
  <c r="X37" i="6" s="1"/>
  <c r="U10" i="6"/>
  <c r="AG32" i="1"/>
  <c r="AG36" i="1" s="1"/>
  <c r="Z31" i="1"/>
  <c r="Y36" i="1"/>
  <c r="O166" i="10"/>
  <c r="F157" i="10"/>
  <c r="G157" i="10" s="1"/>
  <c r="C158" i="10"/>
  <c r="D158" i="10" s="1"/>
  <c r="F166" i="10"/>
  <c r="G166" i="10" s="1"/>
  <c r="C166" i="10"/>
  <c r="C157" i="10"/>
  <c r="D157" i="10" s="1"/>
  <c r="G161" i="10"/>
  <c r="G163" i="10"/>
  <c r="G159" i="10"/>
  <c r="O21" i="4"/>
  <c r="R155" i="10" s="1"/>
  <c r="F158" i="10" s="1"/>
  <c r="N140" i="10"/>
  <c r="P156" i="10"/>
  <c r="O22" i="4"/>
  <c r="O155" i="10" s="1"/>
  <c r="F169" i="10" s="1"/>
  <c r="C145" i="10"/>
  <c r="C147" i="10" s="1"/>
  <c r="F147" i="10"/>
  <c r="F174" i="10"/>
  <c r="R10" i="4"/>
  <c r="Y36" i="5"/>
  <c r="M19" i="5"/>
  <c r="O39" i="5" s="1"/>
  <c r="P39" i="5" s="1"/>
  <c r="AC26" i="5"/>
  <c r="AF5" i="5" s="1"/>
  <c r="AG5" i="5" s="1"/>
  <c r="R10" i="6"/>
  <c r="AG30" i="5"/>
  <c r="AG34" i="5" s="1"/>
  <c r="O121" i="10"/>
  <c r="C38" i="10"/>
  <c r="V22" i="5"/>
  <c r="AF30" i="5"/>
  <c r="AF34" i="5" s="1"/>
  <c r="C113" i="10"/>
  <c r="D131" i="10" s="1"/>
  <c r="F112" i="10"/>
  <c r="F130" i="10" s="1"/>
  <c r="AE3" i="5"/>
  <c r="AI30" i="5" s="1"/>
  <c r="AI34" i="5" s="1"/>
  <c r="D106" i="10"/>
  <c r="AB32" i="4"/>
  <c r="AB36" i="4" s="1"/>
  <c r="AH32" i="4"/>
  <c r="AH36" i="4" s="1"/>
  <c r="Z32" i="4"/>
  <c r="Z36" i="4" s="1"/>
  <c r="AF32" i="4"/>
  <c r="AF36" i="4" s="1"/>
  <c r="AF9" i="4"/>
  <c r="AG9" i="4" s="1"/>
  <c r="D115" i="10"/>
  <c r="Y32" i="4"/>
  <c r="Y36" i="4" s="1"/>
  <c r="AI32" i="4"/>
  <c r="AI36" i="4" s="1"/>
  <c r="AC32" i="4"/>
  <c r="AC36" i="4" s="1"/>
  <c r="AE9" i="5"/>
  <c r="AK9" i="5"/>
  <c r="AJ9" i="5"/>
  <c r="F120" i="10"/>
  <c r="G120" i="10" s="1"/>
  <c r="F115" i="10"/>
  <c r="G115" i="10" s="1"/>
  <c r="D24" i="5"/>
  <c r="AH6" i="5"/>
  <c r="AH5" i="5"/>
  <c r="AD36" i="1"/>
  <c r="X36" i="1"/>
  <c r="AD34" i="1"/>
  <c r="X35" i="1"/>
  <c r="AD35" i="1"/>
  <c r="X34" i="1"/>
  <c r="AD37" i="1"/>
  <c r="X37" i="1"/>
  <c r="AD6" i="6"/>
  <c r="AD3" i="6"/>
  <c r="AC27" i="5"/>
  <c r="AF6" i="5" s="1"/>
  <c r="AG6" i="5" s="1"/>
  <c r="V1" i="5" s="1"/>
  <c r="AD5" i="6"/>
  <c r="AH31" i="4"/>
  <c r="AH35" i="4" s="1"/>
  <c r="AB31" i="4"/>
  <c r="AB35" i="4" s="1"/>
  <c r="AF31" i="4"/>
  <c r="AF35" i="4" s="1"/>
  <c r="Z31" i="4"/>
  <c r="Z35" i="4" s="1"/>
  <c r="Y31" i="4"/>
  <c r="Y35" i="4" s="1"/>
  <c r="AI31" i="4"/>
  <c r="AI35" i="4" s="1"/>
  <c r="AC31" i="4"/>
  <c r="AC35" i="4" s="1"/>
  <c r="AE35" i="4"/>
  <c r="AD35" i="4"/>
  <c r="AA38" i="4"/>
  <c r="AA25" i="4"/>
  <c r="X31" i="4" s="1"/>
  <c r="X35" i="4" s="1"/>
  <c r="K46" i="4"/>
  <c r="J46" i="4" s="1"/>
  <c r="AB26" i="6"/>
  <c r="AB5" i="6" s="1"/>
  <c r="AC5" i="6" s="1"/>
  <c r="U2" i="6" s="1"/>
  <c r="AB27" i="6"/>
  <c r="AB6" i="6" s="1"/>
  <c r="AC6" i="6" s="1"/>
  <c r="U1" i="6" s="1"/>
  <c r="AB27" i="4"/>
  <c r="AB5" i="4" s="1"/>
  <c r="AC5" i="4" s="1"/>
  <c r="V2" i="5"/>
  <c r="F67" i="10"/>
  <c r="J45" i="6"/>
  <c r="D52" i="4"/>
  <c r="F183" i="10"/>
  <c r="F69" i="10"/>
  <c r="F93" i="10" s="1"/>
  <c r="C97" i="10"/>
  <c r="D25" i="6"/>
  <c r="AD34" i="6"/>
  <c r="X30" i="6"/>
  <c r="X34" i="6" s="1"/>
  <c r="F149" i="10"/>
  <c r="F179" i="10" s="1"/>
  <c r="D155" i="10"/>
  <c r="D159" i="10" s="1"/>
  <c r="F153" i="10"/>
  <c r="C183" i="10" s="1"/>
  <c r="F73" i="10"/>
  <c r="F77" i="10" s="1"/>
  <c r="F72" i="10"/>
  <c r="L94" i="10" s="1"/>
  <c r="I180" i="10"/>
  <c r="C125" i="10"/>
  <c r="AG34" i="6"/>
  <c r="C153" i="10"/>
  <c r="L183" i="10" s="1"/>
  <c r="G155" i="10"/>
  <c r="AA25" i="5"/>
  <c r="AH31" i="5" s="1"/>
  <c r="AH35" i="5" s="1"/>
  <c r="G165" i="10"/>
  <c r="D165" i="10"/>
  <c r="F165" i="10"/>
  <c r="I93" i="10"/>
  <c r="F71" i="10"/>
  <c r="F87" i="10"/>
  <c r="G87" i="10" s="1"/>
  <c r="D83" i="10"/>
  <c r="G76" i="10"/>
  <c r="F76" i="10"/>
  <c r="D76" i="10"/>
  <c r="C179" i="10"/>
  <c r="C88" i="10"/>
  <c r="C148" i="10"/>
  <c r="C168" i="10"/>
  <c r="C172" i="10" s="1"/>
  <c r="C152" i="10"/>
  <c r="I184" i="10" s="1"/>
  <c r="C112" i="10"/>
  <c r="D130" i="10" s="1"/>
  <c r="D114" i="10"/>
  <c r="G114" i="10" s="1"/>
  <c r="G118" i="10" s="1"/>
  <c r="AB25" i="5"/>
  <c r="AE31" i="5" s="1"/>
  <c r="AE35" i="5" s="1"/>
  <c r="D166" i="10"/>
  <c r="C167" i="10"/>
  <c r="D167" i="10" s="1"/>
  <c r="C98" i="10"/>
  <c r="D94" i="10"/>
  <c r="F70" i="10"/>
  <c r="D73" i="10"/>
  <c r="D77" i="10" s="1"/>
  <c r="D93" i="10"/>
  <c r="I94" i="10"/>
  <c r="C84" i="10"/>
  <c r="F84" i="10" s="1"/>
  <c r="F88" i="10" s="1"/>
  <c r="I183" i="10"/>
  <c r="D81" i="10"/>
  <c r="F81" i="10"/>
  <c r="D79" i="10"/>
  <c r="C78" i="10"/>
  <c r="C80" i="10" s="1"/>
  <c r="C82" i="10" s="1"/>
  <c r="F79" i="10"/>
  <c r="C150" i="10"/>
  <c r="C180" i="10" s="1"/>
  <c r="F168" i="10"/>
  <c r="F170" i="10" s="1"/>
  <c r="C146" i="10"/>
  <c r="C121" i="10"/>
  <c r="F121" i="10" s="1"/>
  <c r="F125" i="10" s="1"/>
  <c r="F113" i="10"/>
  <c r="C111" i="10"/>
  <c r="F124" i="10"/>
  <c r="G124" i="10" s="1"/>
  <c r="D120" i="10"/>
  <c r="AG35" i="4"/>
  <c r="AA35" i="4"/>
  <c r="I52" i="4"/>
  <c r="K50" i="4"/>
  <c r="K52" i="4" s="1"/>
  <c r="C174" i="10"/>
  <c r="C53" i="4"/>
  <c r="O115" i="10"/>
  <c r="N106" i="10"/>
  <c r="P21" i="5"/>
  <c r="F68" i="10"/>
  <c r="F154" i="10"/>
  <c r="C188" i="10"/>
  <c r="C160" i="10"/>
  <c r="D160" i="10" s="1"/>
  <c r="D161" i="10"/>
  <c r="C162" i="10"/>
  <c r="D162" i="10" s="1"/>
  <c r="D163" i="10"/>
  <c r="AA30" i="6"/>
  <c r="AA34" i="6" s="1"/>
  <c r="I131" i="10" l="1"/>
  <c r="AB26" i="1"/>
  <c r="AA5" i="1" s="1"/>
  <c r="AB5" i="1" s="1"/>
  <c r="U2" i="1" s="1"/>
  <c r="D38" i="10"/>
  <c r="F38" i="10" s="1"/>
  <c r="G38" i="10" s="1"/>
  <c r="C40" i="10"/>
  <c r="D40" i="10" s="1"/>
  <c r="F40" i="10" s="1"/>
  <c r="G40" i="10" s="1"/>
  <c r="C164" i="10"/>
  <c r="D164" i="10" s="1"/>
  <c r="O165" i="10"/>
  <c r="F167" i="10"/>
  <c r="G167" i="10" s="1"/>
  <c r="O15" i="4"/>
  <c r="AC30" i="5"/>
  <c r="AC34" i="5" s="1"/>
  <c r="AA30" i="5"/>
  <c r="AA34" i="5" s="1"/>
  <c r="AJ30" i="5"/>
  <c r="AJ34" i="5" s="1"/>
  <c r="AB30" i="5"/>
  <c r="AB34" i="5" s="1"/>
  <c r="Y30" i="5"/>
  <c r="Y34" i="5" s="1"/>
  <c r="AD30" i="5"/>
  <c r="AD34" i="5" s="1"/>
  <c r="Z30" i="5"/>
  <c r="Z34" i="5" s="1"/>
  <c r="AC24" i="5" s="1"/>
  <c r="AF3" i="5" s="1"/>
  <c r="AG3" i="5" s="1"/>
  <c r="Z16" i="5" s="1"/>
  <c r="I25" i="5" s="1"/>
  <c r="C85" i="10"/>
  <c r="AB24" i="1"/>
  <c r="AA3" i="1" s="1"/>
  <c r="AB3" i="1" s="1"/>
  <c r="Y16" i="1" s="1"/>
  <c r="I25" i="1" s="1"/>
  <c r="B28" i="1" s="1"/>
  <c r="AL9" i="5"/>
  <c r="AH9" i="5" s="1"/>
  <c r="AJ31" i="5"/>
  <c r="AB31" i="5"/>
  <c r="AI31" i="5"/>
  <c r="AA31" i="5"/>
  <c r="AD31" i="5"/>
  <c r="Z31" i="5"/>
  <c r="AC31" i="5"/>
  <c r="Y31" i="5"/>
  <c r="D25" i="5"/>
  <c r="AB27" i="1"/>
  <c r="AA6" i="1" s="1"/>
  <c r="AB6" i="1" s="1"/>
  <c r="U1" i="1" s="1"/>
  <c r="AB28" i="4"/>
  <c r="AB6" i="4" s="1"/>
  <c r="AC6" i="4" s="1"/>
  <c r="G158" i="10"/>
  <c r="F160" i="10"/>
  <c r="G169" i="10"/>
  <c r="F171" i="10"/>
  <c r="C25" i="5"/>
  <c r="F86" i="10"/>
  <c r="C86" i="10"/>
  <c r="C170" i="10"/>
  <c r="C169" i="10"/>
  <c r="C123" i="10"/>
  <c r="F123" i="10"/>
  <c r="C122" i="10"/>
  <c r="J52" i="4"/>
  <c r="M179" i="10"/>
  <c r="AB25" i="4"/>
  <c r="AB3" i="4" s="1"/>
  <c r="AC3" i="4" s="1"/>
  <c r="D40" i="4" s="1"/>
  <c r="O114" i="10"/>
  <c r="F119" i="10" s="1"/>
  <c r="G119" i="10" s="1"/>
  <c r="P15" i="5"/>
  <c r="F131" i="10"/>
  <c r="F180" i="10"/>
  <c r="H53" i="4"/>
  <c r="M180" i="10"/>
  <c r="D78" i="10"/>
  <c r="G78" i="10"/>
  <c r="F78" i="10"/>
  <c r="C26" i="6"/>
  <c r="D26" i="6"/>
  <c r="C187" i="10"/>
  <c r="AB24" i="6"/>
  <c r="AB3" i="6" s="1"/>
  <c r="AC3" i="6" s="1"/>
  <c r="Y16" i="6" s="1"/>
  <c r="I26" i="6" s="1"/>
  <c r="F97" i="10"/>
  <c r="C117" i="10"/>
  <c r="D117" i="10" s="1"/>
  <c r="F117" i="10"/>
  <c r="G117" i="10" s="1"/>
  <c r="G116" i="10"/>
  <c r="C118" i="10"/>
  <c r="F116" i="10"/>
  <c r="C119" i="10"/>
  <c r="D119" i="10" s="1"/>
  <c r="D116" i="10"/>
  <c r="D118" i="10"/>
  <c r="C116" i="10"/>
  <c r="D82" i="10"/>
  <c r="G82" i="10"/>
  <c r="F82" i="10"/>
  <c r="F148" i="10"/>
  <c r="D80" i="10"/>
  <c r="G80" i="10"/>
  <c r="F80" i="10"/>
  <c r="F98" i="10"/>
  <c r="F94" i="10"/>
  <c r="L93" i="10"/>
  <c r="I130" i="10"/>
  <c r="F152" i="10"/>
  <c r="F184" i="10" s="1"/>
  <c r="L184" i="10"/>
  <c r="I179" i="10"/>
  <c r="D25" i="1" l="1"/>
  <c r="M26" i="1" s="1"/>
  <c r="N37" i="1" s="1"/>
  <c r="O37" i="1" s="1"/>
  <c r="G160" i="10"/>
  <c r="F162" i="10"/>
  <c r="K25" i="1"/>
  <c r="N39" i="1" s="1"/>
  <c r="O39" i="1" s="1"/>
  <c r="U13" i="1"/>
  <c r="U11" i="1" s="1"/>
  <c r="U12" i="1" s="1"/>
  <c r="U14" i="1" s="1"/>
  <c r="U23" i="1" s="1"/>
  <c r="O10" i="1"/>
  <c r="O13" i="1" s="1"/>
  <c r="O14" i="1" s="1"/>
  <c r="O17" i="1" s="1"/>
  <c r="O25" i="1" s="1"/>
  <c r="O26" i="1" s="1"/>
  <c r="O29" i="1" s="1"/>
  <c r="R13" i="1"/>
  <c r="R11" i="1" s="1"/>
  <c r="R12" i="1" s="1"/>
  <c r="R14" i="1" s="1"/>
  <c r="D85" i="10"/>
  <c r="F85" i="10"/>
  <c r="C25" i="1"/>
  <c r="M22" i="6"/>
  <c r="N37" i="6" s="1"/>
  <c r="O37" i="6" s="1"/>
  <c r="M25" i="5"/>
  <c r="O37" i="5" s="1"/>
  <c r="P37" i="5" s="1"/>
  <c r="G171" i="10"/>
  <c r="F173" i="10"/>
  <c r="G173" i="10" s="1"/>
  <c r="D169" i="10"/>
  <c r="C171" i="10"/>
  <c r="D122" i="10"/>
  <c r="F122" i="10"/>
  <c r="K25" i="5"/>
  <c r="P10" i="5"/>
  <c r="P13" i="5" s="1"/>
  <c r="P14" i="5" s="1"/>
  <c r="S13" i="5"/>
  <c r="S11" i="5" s="1"/>
  <c r="S12" i="5" s="1"/>
  <c r="V13" i="5"/>
  <c r="V11" i="5" s="1"/>
  <c r="V12" i="5" s="1"/>
  <c r="B28" i="5"/>
  <c r="K26" i="6"/>
  <c r="R13" i="6"/>
  <c r="R11" i="6" s="1"/>
  <c r="R12" i="6" s="1"/>
  <c r="U13" i="6"/>
  <c r="U11" i="6" s="1"/>
  <c r="U12" i="6" s="1"/>
  <c r="O10" i="6"/>
  <c r="O13" i="6" s="1"/>
  <c r="O14" i="6" s="1"/>
  <c r="B29" i="6"/>
  <c r="C184" i="10"/>
  <c r="E56" i="4"/>
  <c r="J56" i="4"/>
  <c r="G85" i="10" l="1"/>
  <c r="C87" i="10"/>
  <c r="D87" i="10" s="1"/>
  <c r="M27" i="1"/>
  <c r="G162" i="10"/>
  <c r="F164" i="10"/>
  <c r="G164" i="10" s="1"/>
  <c r="U25" i="1"/>
  <c r="U15" i="1"/>
  <c r="O20" i="1"/>
  <c r="S28" i="1"/>
  <c r="R23" i="1"/>
  <c r="R25" i="1"/>
  <c r="R15" i="1"/>
  <c r="D171" i="10"/>
  <c r="C173" i="10"/>
  <c r="D173" i="10" s="1"/>
  <c r="G122" i="10"/>
  <c r="C124" i="10"/>
  <c r="D124" i="10" s="1"/>
  <c r="K57" i="4"/>
  <c r="G19" i="4" s="1"/>
  <c r="AD9" i="4" s="1"/>
  <c r="R14" i="6"/>
  <c r="O17" i="6"/>
  <c r="O20" i="6" s="1"/>
  <c r="M23" i="6"/>
  <c r="N39" i="6"/>
  <c r="O39" i="6" s="1"/>
  <c r="U14" i="6"/>
  <c r="U15" i="6" s="1"/>
  <c r="P17" i="5"/>
  <c r="S14" i="5"/>
  <c r="S15" i="5" s="1"/>
  <c r="V14" i="5"/>
  <c r="O40" i="5"/>
  <c r="P40" i="5" s="1"/>
  <c r="M26" i="5"/>
  <c r="U1" i="4" l="1"/>
  <c r="AD6" i="4"/>
  <c r="AD5" i="4"/>
  <c r="AD3" i="4"/>
  <c r="Y17" i="4"/>
  <c r="I25" i="4" s="1"/>
  <c r="U2" i="4"/>
  <c r="C25" i="4" s="1"/>
  <c r="D24" i="4"/>
  <c r="S25" i="5"/>
  <c r="T28" i="5"/>
  <c r="S23" i="5"/>
  <c r="V25" i="5"/>
  <c r="V23" i="5"/>
  <c r="P25" i="5"/>
  <c r="P26" i="5" s="1"/>
  <c r="P29" i="5" s="1"/>
  <c r="R25" i="6"/>
  <c r="S28" i="6"/>
  <c r="R23" i="6"/>
  <c r="U25" i="6"/>
  <c r="U23" i="6"/>
  <c r="V15" i="5"/>
  <c r="P20" i="5"/>
  <c r="O25" i="6"/>
  <c r="O26" i="6" s="1"/>
  <c r="O29" i="6" s="1"/>
  <c r="R15" i="6"/>
  <c r="O10" i="4" l="1"/>
  <c r="O13" i="4" s="1"/>
  <c r="O14" i="4" s="1"/>
  <c r="O17" i="4" s="1"/>
  <c r="O20" i="4" s="1"/>
  <c r="R13" i="4"/>
  <c r="R11" i="4" s="1"/>
  <c r="R12" i="4" s="1"/>
  <c r="R14" i="4" s="1"/>
  <c r="R15" i="4" s="1"/>
  <c r="K25" i="4"/>
  <c r="N39" i="4" s="1"/>
  <c r="O39" i="4" s="1"/>
  <c r="D25" i="4"/>
  <c r="U13" i="4"/>
  <c r="U11" i="4" s="1"/>
  <c r="U12" i="4" s="1"/>
  <c r="U14" i="4" s="1"/>
  <c r="U15" i="4" s="1"/>
  <c r="B28" i="4"/>
  <c r="M25" i="4" l="1"/>
  <c r="N37" i="4" s="1"/>
  <c r="O37" i="4" s="1"/>
  <c r="M26" i="4"/>
  <c r="U25" i="4"/>
  <c r="U23" i="4"/>
  <c r="R25" i="4"/>
  <c r="S28" i="4"/>
  <c r="R23" i="4"/>
  <c r="O25" i="4"/>
  <c r="O26" i="4" s="1"/>
  <c r="O29" i="4" s="1"/>
  <c r="D125" i="10" l="1"/>
  <c r="Z35" i="6" l="1"/>
  <c r="AB35" i="6"/>
  <c r="AF31" i="6"/>
  <c r="AF35" i="6" s="1"/>
  <c r="AH31" i="6"/>
  <c r="AH35" i="6" s="1"/>
  <c r="Z25" i="6"/>
  <c r="AE31" i="6"/>
  <c r="AE35" i="6" s="1"/>
  <c r="Y31" i="6"/>
  <c r="Y35" i="6" s="1"/>
  <c r="AI31" i="6"/>
  <c r="AI35" i="6" s="1"/>
  <c r="AC31" i="6"/>
  <c r="AC35" i="6" s="1"/>
  <c r="AA25" i="6"/>
  <c r="AG31" i="6" l="1"/>
  <c r="AG35" i="6" s="1"/>
  <c r="AA31" i="6"/>
  <c r="AA35" i="6" s="1"/>
  <c r="AD31" i="6"/>
  <c r="AD35" i="6" s="1"/>
  <c r="X31" i="6"/>
  <c r="X35" i="6" s="1"/>
  <c r="AB25" i="6" s="1"/>
  <c r="AB9" i="6" s="1"/>
  <c r="AC9" i="6" l="1"/>
  <c r="AH9" i="6" s="1"/>
  <c r="Y10" i="6" s="1"/>
  <c r="AB10" i="6" l="1"/>
  <c r="AE10" i="6"/>
  <c r="AF10" i="6" s="1"/>
  <c r="AG10" i="6" s="1"/>
  <c r="AD10" i="6" s="1"/>
  <c r="Z10" i="6"/>
  <c r="AA10" i="6" s="1"/>
  <c r="G172" i="10"/>
  <c r="G174" i="10"/>
  <c r="AC10" i="6" l="1"/>
  <c r="AH10" i="6" s="1"/>
  <c r="Y11" i="6" s="1"/>
  <c r="AE11" i="6" s="1"/>
  <c r="AF11" i="6" s="1"/>
  <c r="AG11" i="6" s="1"/>
  <c r="AD11" i="6" s="1"/>
  <c r="AB11" i="6" l="1"/>
  <c r="Z11" i="6"/>
  <c r="AA11" i="6" s="1"/>
  <c r="AI35" i="1"/>
  <c r="AC35" i="1"/>
  <c r="Z35" i="1"/>
  <c r="AE35" i="1"/>
  <c r="AF35" i="1"/>
  <c r="AB35" i="1"/>
  <c r="AH35" i="1"/>
  <c r="Y35" i="1"/>
  <c r="AC11" i="6" l="1"/>
  <c r="AH11" i="6" s="1"/>
  <c r="Y12" i="6" s="1"/>
  <c r="Z12" i="6" s="1"/>
  <c r="AA12" i="6" s="1"/>
  <c r="AB25" i="1"/>
  <c r="AA9" i="1" s="1"/>
  <c r="AB12" i="6" l="1"/>
  <c r="AC12" i="6" s="1"/>
  <c r="AE12" i="6"/>
  <c r="AF12" i="6" s="1"/>
  <c r="AG12" i="6" s="1"/>
  <c r="AD12" i="6" s="1"/>
  <c r="AB9" i="1"/>
  <c r="AF9" i="1" s="1"/>
  <c r="Y10" i="1" s="1"/>
  <c r="AH12" i="6" l="1"/>
  <c r="Y13" i="6" s="1"/>
  <c r="Y4" i="6" s="1"/>
  <c r="D86" i="10"/>
  <c r="D88" i="10"/>
  <c r="Z10" i="1"/>
  <c r="AD10" i="1"/>
  <c r="AE10" i="1" s="1"/>
  <c r="AC10" i="1" s="1"/>
  <c r="AA10" i="1"/>
  <c r="Z13" i="6" l="1"/>
  <c r="AA13" i="6" s="1"/>
  <c r="AB4" i="6"/>
  <c r="J27" i="6"/>
  <c r="AB13" i="6"/>
  <c r="AE13" i="6"/>
  <c r="AF13" i="6" s="1"/>
  <c r="AG13" i="6" s="1"/>
  <c r="AD13" i="6" s="1"/>
  <c r="AE4" i="6"/>
  <c r="AF4" i="6" s="1"/>
  <c r="AG4" i="6" s="1"/>
  <c r="AD4" i="6" s="1"/>
  <c r="R46" i="6"/>
  <c r="Z4" i="6"/>
  <c r="AA4" i="6" s="1"/>
  <c r="AC25" i="6" s="1"/>
  <c r="AE25" i="6" s="1"/>
  <c r="S46" i="6"/>
  <c r="AB10" i="1"/>
  <c r="AF10" i="1" s="1"/>
  <c r="Y11" i="1" s="1"/>
  <c r="AC13" i="6" l="1"/>
  <c r="AH13" i="6" s="1"/>
  <c r="AC4" i="6"/>
  <c r="I27" i="6" s="1"/>
  <c r="R31" i="6" s="1"/>
  <c r="AA11" i="1"/>
  <c r="Z11" i="1"/>
  <c r="AD11" i="1"/>
  <c r="AE11" i="1" s="1"/>
  <c r="AC11" i="1" s="1"/>
  <c r="AH4" i="6" l="1"/>
  <c r="U31" i="6"/>
  <c r="U34" i="6" s="1"/>
  <c r="O28" i="6"/>
  <c r="I83" i="10" s="1"/>
  <c r="U32" i="6"/>
  <c r="R32" i="6"/>
  <c r="R16" i="6" s="1"/>
  <c r="R17" i="6" s="1"/>
  <c r="R18" i="6" s="1"/>
  <c r="R33" i="6" s="1"/>
  <c r="AB11" i="1"/>
  <c r="AF11" i="1" s="1"/>
  <c r="Y12" i="1" s="1"/>
  <c r="Z12" i="1" s="1"/>
  <c r="U16" i="6" l="1"/>
  <c r="U17" i="6" s="1"/>
  <c r="U26" i="6" s="1"/>
  <c r="U29" i="6" s="1"/>
  <c r="L83" i="10"/>
  <c r="N28" i="6"/>
  <c r="M80" i="10"/>
  <c r="O32" i="6"/>
  <c r="D34" i="6"/>
  <c r="O30" i="6"/>
  <c r="J85" i="10"/>
  <c r="G32" i="6"/>
  <c r="L77" i="10"/>
  <c r="I80" i="10"/>
  <c r="L74" i="10"/>
  <c r="M75" i="10"/>
  <c r="E34" i="6"/>
  <c r="J88" i="10"/>
  <c r="J83" i="10"/>
  <c r="M62" i="10"/>
  <c r="J86" i="10"/>
  <c r="J87" i="10"/>
  <c r="L76" i="10"/>
  <c r="I61" i="10"/>
  <c r="I88" i="10"/>
  <c r="J63" i="10"/>
  <c r="J81" i="10"/>
  <c r="M76" i="10"/>
  <c r="D37" i="6"/>
  <c r="E37" i="6" s="1"/>
  <c r="I82" i="10"/>
  <c r="L61" i="10"/>
  <c r="M85" i="10"/>
  <c r="C29" i="6"/>
  <c r="J78" i="10"/>
  <c r="I78" i="10"/>
  <c r="L87" i="10"/>
  <c r="I76" i="10"/>
  <c r="J66" i="10"/>
  <c r="J79" i="10"/>
  <c r="L81" i="10"/>
  <c r="C32" i="6"/>
  <c r="M78" i="10"/>
  <c r="J75" i="10"/>
  <c r="L86" i="10"/>
  <c r="J65" i="10"/>
  <c r="I87" i="10"/>
  <c r="L62" i="10"/>
  <c r="O33" i="6"/>
  <c r="J80" i="10"/>
  <c r="M87" i="10"/>
  <c r="J64" i="10"/>
  <c r="I86" i="10"/>
  <c r="J73" i="10"/>
  <c r="D33" i="6"/>
  <c r="J82" i="10"/>
  <c r="I62" i="10"/>
  <c r="L82" i="10"/>
  <c r="I74" i="10"/>
  <c r="L75" i="10"/>
  <c r="J61" i="10"/>
  <c r="L64" i="10"/>
  <c r="I64" i="10"/>
  <c r="L85" i="10"/>
  <c r="M74" i="10"/>
  <c r="L84" i="10"/>
  <c r="J62" i="10"/>
  <c r="D32" i="6"/>
  <c r="R1" i="6"/>
  <c r="J77" i="10"/>
  <c r="L79" i="10"/>
  <c r="I66" i="10"/>
  <c r="M64" i="10"/>
  <c r="I84" i="10"/>
  <c r="L73" i="10"/>
  <c r="L88" i="10"/>
  <c r="R19" i="6"/>
  <c r="R20" i="6" s="1"/>
  <c r="R27" i="6" s="1"/>
  <c r="R28" i="6" s="1"/>
  <c r="J74" i="10"/>
  <c r="I75" i="10"/>
  <c r="L80" i="10"/>
  <c r="M82" i="10"/>
  <c r="I65" i="10"/>
  <c r="L78" i="10"/>
  <c r="I85" i="10"/>
  <c r="M83" i="10"/>
  <c r="J76" i="10"/>
  <c r="L63" i="10"/>
  <c r="AA12" i="1"/>
  <c r="AB12" i="1" s="1"/>
  <c r="AD12" i="1"/>
  <c r="AE12" i="1" s="1"/>
  <c r="AC12" i="1" s="1"/>
  <c r="U19" i="6" l="1"/>
  <c r="U20" i="6" s="1"/>
  <c r="U35" i="6" s="1"/>
  <c r="N93" i="10" s="1"/>
  <c r="U18" i="6"/>
  <c r="U33" i="6" s="1"/>
  <c r="U27" i="6" s="1"/>
  <c r="O31" i="6"/>
  <c r="D58" i="10" s="1"/>
  <c r="C30" i="6"/>
  <c r="R26" i="6"/>
  <c r="R29" i="6" s="1"/>
  <c r="R34" i="6"/>
  <c r="Q28" i="6"/>
  <c r="M68" i="10"/>
  <c r="L67" i="10"/>
  <c r="I68" i="10"/>
  <c r="I67" i="10"/>
  <c r="J67" i="10"/>
  <c r="J68" i="10"/>
  <c r="L68" i="10"/>
  <c r="M67" i="10"/>
  <c r="AF12" i="1"/>
  <c r="Y13" i="1" s="1"/>
  <c r="Y4" i="1" s="1"/>
  <c r="V28" i="6" l="1"/>
  <c r="U28" i="6" s="1"/>
  <c r="L72" i="10" s="1"/>
  <c r="M30" i="6"/>
  <c r="C61" i="10"/>
  <c r="C89" i="10" s="1"/>
  <c r="O77" i="10" s="1"/>
  <c r="G71" i="10"/>
  <c r="M93" i="10" s="1"/>
  <c r="D70" i="10"/>
  <c r="G70" i="10" s="1"/>
  <c r="M31" i="6"/>
  <c r="D36" i="6"/>
  <c r="D66" i="10"/>
  <c r="D84" i="10" s="1"/>
  <c r="D72" i="10"/>
  <c r="G72" i="10" s="1"/>
  <c r="D67" i="10"/>
  <c r="D71" i="10"/>
  <c r="J93" i="10" s="1"/>
  <c r="I95" i="10" s="1"/>
  <c r="J95" i="10" s="1"/>
  <c r="G69" i="10"/>
  <c r="G97" i="10" s="1"/>
  <c r="G67" i="10"/>
  <c r="D68" i="10"/>
  <c r="G68" i="10" s="1"/>
  <c r="D69" i="10"/>
  <c r="G61" i="10"/>
  <c r="F99" i="10"/>
  <c r="G99" i="10" s="1"/>
  <c r="L95" i="10"/>
  <c r="M95" i="10" s="1"/>
  <c r="M61" i="10"/>
  <c r="AA13" i="1"/>
  <c r="Z13" i="1"/>
  <c r="AD13" i="1"/>
  <c r="AE13" i="1" s="1"/>
  <c r="AC13" i="1" s="1"/>
  <c r="AD4" i="1"/>
  <c r="AE4" i="1" s="1"/>
  <c r="AC4" i="1" s="1"/>
  <c r="R51" i="1"/>
  <c r="J26" i="1"/>
  <c r="S51" i="1"/>
  <c r="Z4" i="1"/>
  <c r="AA4" i="1"/>
  <c r="J71" i="10" l="1"/>
  <c r="I70" i="10"/>
  <c r="I69" i="10"/>
  <c r="J69" i="10"/>
  <c r="M69" i="10"/>
  <c r="N38" i="6"/>
  <c r="O38" i="6" s="1"/>
  <c r="J72" i="10"/>
  <c r="I72" i="10"/>
  <c r="L69" i="10"/>
  <c r="I71" i="10"/>
  <c r="M71" i="10"/>
  <c r="M70" i="10"/>
  <c r="L70" i="10"/>
  <c r="L71" i="10"/>
  <c r="G30" i="6"/>
  <c r="J70" i="10"/>
  <c r="T28" i="6"/>
  <c r="C31" i="6"/>
  <c r="M72" i="10"/>
  <c r="M94" i="10"/>
  <c r="L96" i="10" s="1"/>
  <c r="M96" i="10" s="1"/>
  <c r="C94" i="10"/>
  <c r="D96" i="10" s="1"/>
  <c r="C96" i="10" s="1"/>
  <c r="J94" i="10"/>
  <c r="I96" i="10" s="1"/>
  <c r="J96" i="10" s="1"/>
  <c r="D98" i="10"/>
  <c r="C100" i="10" s="1"/>
  <c r="D100" i="10" s="1"/>
  <c r="O78" i="10"/>
  <c r="Q78" i="10" s="1"/>
  <c r="C93" i="10"/>
  <c r="D95" i="10" s="1"/>
  <c r="C95" i="10" s="1"/>
  <c r="C73" i="10"/>
  <c r="C77" i="10" s="1"/>
  <c r="I77" i="10" s="1"/>
  <c r="C63" i="10"/>
  <c r="I63" i="10" s="1"/>
  <c r="D97" i="10"/>
  <c r="C99" i="10" s="1"/>
  <c r="D99" i="10" s="1"/>
  <c r="G93" i="10"/>
  <c r="F95" i="10" s="1"/>
  <c r="G95" i="10" s="1"/>
  <c r="G63" i="10"/>
  <c r="M63" i="10" s="1"/>
  <c r="G73" i="10"/>
  <c r="G81" i="10" s="1"/>
  <c r="M81" i="10" s="1"/>
  <c r="D89" i="10"/>
  <c r="P77" i="10" s="1"/>
  <c r="Q77" i="10" s="1"/>
  <c r="G84" i="10"/>
  <c r="J84" i="10"/>
  <c r="G98" i="10"/>
  <c r="F100" i="10" s="1"/>
  <c r="G100" i="10" s="1"/>
  <c r="G94" i="10"/>
  <c r="F96" i="10" s="1"/>
  <c r="G96" i="10" s="1"/>
  <c r="AB13" i="1"/>
  <c r="AF13" i="1" s="1"/>
  <c r="AB4" i="1"/>
  <c r="I26" i="1" s="1"/>
  <c r="AC25" i="1"/>
  <c r="AE25" i="1" s="1"/>
  <c r="F10" i="6" l="1"/>
  <c r="N41" i="6"/>
  <c r="F9" i="6" s="1"/>
  <c r="I73" i="10"/>
  <c r="C81" i="10"/>
  <c r="I81" i="10" s="1"/>
  <c r="C79" i="10"/>
  <c r="I79" i="10" s="1"/>
  <c r="G79" i="10"/>
  <c r="M79" i="10" s="1"/>
  <c r="G77" i="10"/>
  <c r="M77" i="10" s="1"/>
  <c r="M73" i="10"/>
  <c r="O79" i="10"/>
  <c r="O80" i="10"/>
  <c r="G86" i="10"/>
  <c r="M86" i="10" s="1"/>
  <c r="G88" i="10"/>
  <c r="M88" i="10" s="1"/>
  <c r="M84" i="10"/>
  <c r="AF4" i="1"/>
  <c r="O44" i="1"/>
  <c r="O46" i="1"/>
  <c r="U32" i="1"/>
  <c r="O45" i="1"/>
  <c r="O28" i="1"/>
  <c r="U31" i="1"/>
  <c r="R32" i="1"/>
  <c r="O43" i="1"/>
  <c r="P43" i="1" s="1"/>
  <c r="R31" i="1"/>
  <c r="R16" i="1" l="1"/>
  <c r="R17" i="1" s="1"/>
  <c r="R18" i="1" s="1"/>
  <c r="R33" i="1" s="1"/>
  <c r="U34" i="1"/>
  <c r="U16" i="1"/>
  <c r="U17" i="1" s="1"/>
  <c r="I23" i="10"/>
  <c r="J28" i="10"/>
  <c r="L38" i="10"/>
  <c r="J31" i="10"/>
  <c r="J36" i="10"/>
  <c r="L31" i="10"/>
  <c r="J26" i="10"/>
  <c r="N28" i="1"/>
  <c r="I29" i="10"/>
  <c r="I36" i="10"/>
  <c r="M23" i="10"/>
  <c r="J8" i="10"/>
  <c r="L8" i="10"/>
  <c r="L25" i="10"/>
  <c r="L34" i="10"/>
  <c r="M34" i="10"/>
  <c r="L9" i="10"/>
  <c r="J27" i="10"/>
  <c r="I37" i="10"/>
  <c r="L30" i="10"/>
  <c r="I30" i="10"/>
  <c r="M7" i="10"/>
  <c r="I39" i="10"/>
  <c r="I27" i="10"/>
  <c r="J23" i="10"/>
  <c r="C31" i="1"/>
  <c r="L22" i="10"/>
  <c r="L6" i="10"/>
  <c r="L32" i="10"/>
  <c r="C28" i="1"/>
  <c r="J32" i="10"/>
  <c r="I7" i="10"/>
  <c r="I38" i="10"/>
  <c r="J7" i="10"/>
  <c r="M36" i="10"/>
  <c r="L28" i="10"/>
  <c r="E33" i="1"/>
  <c r="J24" i="10"/>
  <c r="L33" i="10"/>
  <c r="J30" i="10"/>
  <c r="I41" i="10"/>
  <c r="I24" i="10"/>
  <c r="J34" i="10"/>
  <c r="J29" i="10"/>
  <c r="J6" i="10"/>
  <c r="M31" i="10"/>
  <c r="M29" i="10"/>
  <c r="L29" i="10"/>
  <c r="I25" i="10"/>
  <c r="I40" i="10"/>
  <c r="J33" i="10"/>
  <c r="L37" i="10"/>
  <c r="L23" i="10"/>
  <c r="I8" i="10"/>
  <c r="I34" i="10"/>
  <c r="I31" i="10"/>
  <c r="L36" i="10"/>
  <c r="M24" i="10"/>
  <c r="M25" i="10"/>
  <c r="L24" i="10"/>
  <c r="J25" i="10"/>
  <c r="L41" i="10"/>
  <c r="M27" i="10"/>
  <c r="L27" i="10"/>
  <c r="M38" i="10"/>
  <c r="J22" i="10"/>
  <c r="I32" i="10"/>
  <c r="M33" i="10"/>
  <c r="J40" i="10"/>
  <c r="L26" i="10"/>
  <c r="L7" i="10"/>
  <c r="M40" i="10"/>
  <c r="M8" i="10"/>
  <c r="L40" i="10"/>
  <c r="J38" i="10"/>
  <c r="M30" i="10"/>
  <c r="L39" i="10"/>
  <c r="L35" i="10"/>
  <c r="I33" i="10"/>
  <c r="M32" i="10"/>
  <c r="I9" i="10"/>
  <c r="I35" i="10"/>
  <c r="R19" i="1" l="1"/>
  <c r="R20" i="1" s="1"/>
  <c r="R26" i="1" s="1"/>
  <c r="R29" i="1" s="1"/>
  <c r="U19" i="1"/>
  <c r="U20" i="1" s="1"/>
  <c r="U18" i="1"/>
  <c r="U33" i="1" s="1"/>
  <c r="U27" i="1" s="1"/>
  <c r="U26" i="1"/>
  <c r="U29" i="1" s="1"/>
  <c r="R34" i="1" l="1"/>
  <c r="R27" i="1"/>
  <c r="R28" i="1" s="1"/>
  <c r="Q28" i="1" s="1"/>
  <c r="V28" i="1"/>
  <c r="U28" i="1" s="1"/>
  <c r="T28" i="1" s="1"/>
  <c r="U35" i="1"/>
  <c r="N44" i="10" l="1"/>
  <c r="O33" i="1"/>
  <c r="D32" i="1"/>
  <c r="D33" i="1"/>
  <c r="R1" i="1"/>
  <c r="C30" i="1" s="1"/>
  <c r="G31" i="1"/>
  <c r="D31" i="1"/>
  <c r="O32" i="1"/>
  <c r="I18" i="10" s="1"/>
  <c r="D36" i="1"/>
  <c r="E36" i="1" s="1"/>
  <c r="O30" i="1"/>
  <c r="N38" i="1"/>
  <c r="N40" i="1" s="1"/>
  <c r="O31" i="1" l="1"/>
  <c r="D35" i="1" s="1"/>
  <c r="G29" i="1"/>
  <c r="L20" i="10"/>
  <c r="L16" i="10"/>
  <c r="I11" i="10"/>
  <c r="I13" i="10"/>
  <c r="I20" i="10"/>
  <c r="L15" i="10"/>
  <c r="L11" i="10"/>
  <c r="C29" i="1"/>
  <c r="I17" i="10"/>
  <c r="I16" i="10"/>
  <c r="L19" i="10"/>
  <c r="L12" i="10"/>
  <c r="I19" i="10"/>
  <c r="L10" i="10"/>
  <c r="L17" i="10"/>
  <c r="I14" i="10"/>
  <c r="L21" i="10"/>
  <c r="I12" i="10"/>
  <c r="I21" i="10"/>
  <c r="I15" i="10"/>
  <c r="L18" i="10"/>
  <c r="L13" i="10"/>
  <c r="I10" i="10"/>
  <c r="L14" i="10"/>
  <c r="O38" i="1"/>
  <c r="F11" i="1"/>
  <c r="M30" i="1" l="1"/>
  <c r="D3" i="10"/>
  <c r="D17" i="10" s="1"/>
  <c r="G17" i="10" s="1"/>
  <c r="J17" i="10" l="1"/>
  <c r="D19" i="10"/>
  <c r="G19" i="10" s="1"/>
  <c r="M19" i="10" s="1"/>
  <c r="G9" i="10"/>
  <c r="P27" i="10" s="1"/>
  <c r="C6" i="10"/>
  <c r="C22" i="10" s="1"/>
  <c r="C28" i="10" s="1"/>
  <c r="I28" i="10" s="1"/>
  <c r="G10" i="10"/>
  <c r="D15" i="10"/>
  <c r="G15" i="10" s="1"/>
  <c r="G53" i="10" s="1"/>
  <c r="F55" i="10" s="1"/>
  <c r="G55" i="10" s="1"/>
  <c r="G16" i="10"/>
  <c r="G20" i="10" s="1"/>
  <c r="M20" i="10" s="1"/>
  <c r="D21" i="10"/>
  <c r="C49" i="10"/>
  <c r="D51" i="10" s="1"/>
  <c r="C51" i="10" s="1"/>
  <c r="D16" i="10"/>
  <c r="J16" i="10" s="1"/>
  <c r="G14" i="10"/>
  <c r="M14" i="10" s="1"/>
  <c r="G6" i="10"/>
  <c r="P26" i="10" s="1"/>
  <c r="D11" i="10"/>
  <c r="D14" i="10"/>
  <c r="M44" i="10" s="1"/>
  <c r="L46" i="10" s="1"/>
  <c r="M46" i="10" s="1"/>
  <c r="D10" i="10"/>
  <c r="D9" i="10"/>
  <c r="G49" i="10"/>
  <c r="F51" i="10" s="1"/>
  <c r="G51" i="10" s="1"/>
  <c r="M17" i="10"/>
  <c r="C26" i="10" l="1"/>
  <c r="I26" i="10" s="1"/>
  <c r="M16" i="10"/>
  <c r="J15" i="10"/>
  <c r="M6" i="10"/>
  <c r="I6" i="10"/>
  <c r="I22" i="10"/>
  <c r="G11" i="10"/>
  <c r="M11" i="10" s="1"/>
  <c r="J11" i="10"/>
  <c r="G12" i="10"/>
  <c r="M12" i="10" s="1"/>
  <c r="M10" i="10"/>
  <c r="D12" i="10"/>
  <c r="J12" i="10" s="1"/>
  <c r="J10" i="10"/>
  <c r="J53" i="10"/>
  <c r="I55" i="10" s="1"/>
  <c r="J55" i="10" s="1"/>
  <c r="J19" i="10"/>
  <c r="G35" i="10"/>
  <c r="G41" i="10" s="1"/>
  <c r="M41" i="10" s="1"/>
  <c r="M15" i="10"/>
  <c r="M45" i="10"/>
  <c r="L47" i="10" s="1"/>
  <c r="M47" i="10" s="1"/>
  <c r="G45" i="10"/>
  <c r="F47" i="10" s="1"/>
  <c r="G47" i="10" s="1"/>
  <c r="M9" i="10"/>
  <c r="J21" i="10"/>
  <c r="D45" i="10"/>
  <c r="C47" i="10" s="1"/>
  <c r="D47" i="10" s="1"/>
  <c r="J9" i="10"/>
  <c r="J14" i="10"/>
  <c r="D53" i="10"/>
  <c r="C55" i="10" s="1"/>
  <c r="D55" i="10" s="1"/>
  <c r="O26" i="10"/>
  <c r="Q26" i="10" s="1"/>
  <c r="I49" i="10"/>
  <c r="J51" i="10" s="1"/>
  <c r="I51" i="10" s="1"/>
  <c r="G21" i="10"/>
  <c r="M53" i="10" s="1"/>
  <c r="L55" i="10" s="1"/>
  <c r="M55" i="10" s="1"/>
  <c r="G22" i="10"/>
  <c r="G28" i="10" s="1"/>
  <c r="M28" i="10" s="1"/>
  <c r="G44" i="10"/>
  <c r="F46" i="10" s="1"/>
  <c r="G46" i="10" s="1"/>
  <c r="G18" i="10"/>
  <c r="M18" i="10" s="1"/>
  <c r="C48" i="10"/>
  <c r="D50" i="10" s="1"/>
  <c r="C50" i="10" s="1"/>
  <c r="D13" i="10"/>
  <c r="D20" i="10"/>
  <c r="J20" i="10" s="1"/>
  <c r="G52" i="10"/>
  <c r="F54" i="10" s="1"/>
  <c r="G54" i="10" s="1"/>
  <c r="M48" i="10"/>
  <c r="L50" i="10" s="1"/>
  <c r="M50" i="10" s="1"/>
  <c r="D18" i="10"/>
  <c r="D44" i="10" s="1"/>
  <c r="C46" i="10" s="1"/>
  <c r="D46" i="10" s="1"/>
  <c r="D52" i="10"/>
  <c r="C54" i="10" s="1"/>
  <c r="D54" i="10" s="1"/>
  <c r="G48" i="10"/>
  <c r="F50" i="10" s="1"/>
  <c r="G50" i="10" s="1"/>
  <c r="O27" i="10"/>
  <c r="Q27" i="10" s="1"/>
  <c r="D35" i="10"/>
  <c r="J45" i="10"/>
  <c r="I47" i="10" s="1"/>
  <c r="J47" i="10" s="1"/>
  <c r="G39" i="10"/>
  <c r="M39" i="10" s="1"/>
  <c r="G26" i="10"/>
  <c r="M26" i="10" s="1"/>
  <c r="F9" i="1"/>
  <c r="AJ35" i="5"/>
  <c r="AC35" i="5"/>
  <c r="AB35" i="5"/>
  <c r="AA35" i="5"/>
  <c r="AD35" i="5"/>
  <c r="AI35" i="5"/>
  <c r="Z35" i="5"/>
  <c r="Y35" i="5"/>
  <c r="G37" i="10" l="1"/>
  <c r="M37" i="10" s="1"/>
  <c r="M22" i="10"/>
  <c r="M35" i="10"/>
  <c r="G13" i="10"/>
  <c r="M13" i="10" s="1"/>
  <c r="J13" i="10"/>
  <c r="J18" i="10"/>
  <c r="M21" i="10"/>
  <c r="O28" i="10"/>
  <c r="M49" i="10"/>
  <c r="L51" i="10" s="1"/>
  <c r="M51" i="10" s="1"/>
  <c r="J44" i="10"/>
  <c r="I46" i="10" s="1"/>
  <c r="J46" i="10" s="1"/>
  <c r="M52" i="10"/>
  <c r="L54" i="10" s="1"/>
  <c r="M54" i="10" s="1"/>
  <c r="I48" i="10"/>
  <c r="J50" i="10" s="1"/>
  <c r="I50" i="10" s="1"/>
  <c r="J52" i="10"/>
  <c r="I54" i="10" s="1"/>
  <c r="J54" i="10" s="1"/>
  <c r="O29" i="10"/>
  <c r="D41" i="10"/>
  <c r="J41" i="10" s="1"/>
  <c r="J35" i="10"/>
  <c r="D39" i="10"/>
  <c r="J39" i="10" s="1"/>
  <c r="D37" i="10"/>
  <c r="J37" i="10" s="1"/>
  <c r="AC25" i="5"/>
  <c r="AF9" i="5" s="1"/>
  <c r="AD25" i="5" l="1"/>
  <c r="AF25" i="5" s="1"/>
  <c r="AG9" i="5"/>
  <c r="AM9" i="5" s="1"/>
  <c r="Z10" i="5" s="1"/>
  <c r="AF10" i="5" s="1"/>
  <c r="AC10" i="5" l="1"/>
  <c r="AI10" i="5"/>
  <c r="AB10" i="5"/>
  <c r="AD10" i="5"/>
  <c r="AA10" i="5"/>
  <c r="AJ10" i="5" l="1"/>
  <c r="AK10" i="5"/>
  <c r="AE10" i="5"/>
  <c r="AG10" i="5" s="1"/>
  <c r="AL10" i="5" l="1"/>
  <c r="AH10" i="5" s="1"/>
  <c r="AM10" i="5" s="1"/>
  <c r="Z11" i="5" s="1"/>
  <c r="AD11" i="5" s="1"/>
  <c r="AC11" i="5" l="1"/>
  <c r="AA11" i="5"/>
  <c r="AF11" i="5"/>
  <c r="AI11" i="5"/>
  <c r="AK11" i="5" s="1"/>
  <c r="AB11" i="5"/>
  <c r="AE11" i="5" l="1"/>
  <c r="AG11" i="5" s="1"/>
  <c r="AJ11" i="5"/>
  <c r="AL11" i="5" s="1"/>
  <c r="AH11" i="5" s="1"/>
  <c r="AM11" i="5" l="1"/>
  <c r="Z12" i="5" s="1"/>
  <c r="AD12" i="5" s="1"/>
  <c r="AC12" i="5" l="1"/>
  <c r="AB12" i="5"/>
  <c r="AA12" i="5"/>
  <c r="AI12" i="5"/>
  <c r="AK12" i="5" s="1"/>
  <c r="AF12" i="5"/>
  <c r="AJ12" i="5"/>
  <c r="AE12" i="5" l="1"/>
  <c r="AG12" i="5" s="1"/>
  <c r="AL12" i="5"/>
  <c r="AH12" i="5" s="1"/>
  <c r="AM12" i="5" s="1"/>
  <c r="Z13" i="5" s="1"/>
  <c r="Z4" i="5" s="1"/>
  <c r="AC13" i="5" l="1"/>
  <c r="AD4" i="5"/>
  <c r="S46" i="5"/>
  <c r="T46" i="5"/>
  <c r="AF4" i="5"/>
  <c r="AF13" i="5"/>
  <c r="AD13" i="5"/>
  <c r="AA13" i="5"/>
  <c r="AB13" i="5"/>
  <c r="AI13" i="5"/>
  <c r="AK13" i="5" s="1"/>
  <c r="J26" i="5"/>
  <c r="AI4" i="5"/>
  <c r="AK4" i="5" s="1"/>
  <c r="AC4" i="5"/>
  <c r="AB4" i="5"/>
  <c r="AA4" i="5"/>
  <c r="AE13" i="5" l="1"/>
  <c r="AG13" i="5" s="1"/>
  <c r="AE4" i="5"/>
  <c r="AG4" i="5" s="1"/>
  <c r="I26" i="5" s="1"/>
  <c r="AJ13" i="5"/>
  <c r="AL13" i="5" s="1"/>
  <c r="AH13" i="5" s="1"/>
  <c r="AM13" i="5" s="1"/>
  <c r="AJ4" i="5"/>
  <c r="AL4" i="5" s="1"/>
  <c r="AH4" i="5" s="1"/>
  <c r="AM4" i="5" s="1"/>
  <c r="S32" i="5" l="1"/>
  <c r="V31" i="5"/>
  <c r="V32" i="5"/>
  <c r="S31" i="5"/>
  <c r="S16" i="5" s="1"/>
  <c r="S17" i="5" s="1"/>
  <c r="S19" i="5" s="1"/>
  <c r="S20" i="5" s="1"/>
  <c r="S34" i="5" s="1"/>
  <c r="P28" i="5"/>
  <c r="M114" i="10" s="1"/>
  <c r="V16" i="5" l="1"/>
  <c r="V17" i="5" s="1"/>
  <c r="V26" i="5" s="1"/>
  <c r="V29" i="5" s="1"/>
  <c r="J125" i="10"/>
  <c r="M119" i="10"/>
  <c r="I123" i="10"/>
  <c r="J108" i="10"/>
  <c r="I121" i="10"/>
  <c r="L125" i="10"/>
  <c r="L116" i="10"/>
  <c r="C28" i="5"/>
  <c r="I115" i="10"/>
  <c r="J119" i="10"/>
  <c r="M106" i="10"/>
  <c r="I108" i="10"/>
  <c r="M124" i="10"/>
  <c r="M122" i="10"/>
  <c r="M115" i="10"/>
  <c r="I116" i="10"/>
  <c r="L109" i="10"/>
  <c r="M116" i="10"/>
  <c r="L119" i="10"/>
  <c r="J124" i="10"/>
  <c r="J107" i="10"/>
  <c r="I122" i="10"/>
  <c r="O28" i="5"/>
  <c r="J106" i="10"/>
  <c r="L117" i="10"/>
  <c r="L107" i="10"/>
  <c r="J120" i="10"/>
  <c r="E33" i="5"/>
  <c r="M108" i="10"/>
  <c r="I107" i="10"/>
  <c r="C31" i="5"/>
  <c r="L121" i="10"/>
  <c r="J116" i="10"/>
  <c r="L106" i="10"/>
  <c r="M117" i="10"/>
  <c r="J114" i="10"/>
  <c r="L108" i="10"/>
  <c r="J117" i="10"/>
  <c r="I124" i="10"/>
  <c r="I117" i="10"/>
  <c r="I118" i="10"/>
  <c r="J115" i="10"/>
  <c r="L124" i="10"/>
  <c r="J118" i="10"/>
  <c r="M107" i="10"/>
  <c r="L123" i="10"/>
  <c r="I109" i="10"/>
  <c r="L120" i="10"/>
  <c r="I120" i="10"/>
  <c r="I125" i="10"/>
  <c r="L122" i="10"/>
  <c r="L115" i="10"/>
  <c r="M118" i="10"/>
  <c r="V34" i="5"/>
  <c r="M120" i="10"/>
  <c r="I119" i="10"/>
  <c r="J122" i="10"/>
  <c r="S26" i="5"/>
  <c r="S29" i="5" s="1"/>
  <c r="S18" i="5"/>
  <c r="S33" i="5" s="1"/>
  <c r="S27" i="5" s="1"/>
  <c r="S28" i="5" s="1"/>
  <c r="D31" i="5" s="1"/>
  <c r="V19" i="5" l="1"/>
  <c r="V20" i="5" s="1"/>
  <c r="V35" i="5" s="1"/>
  <c r="N130" i="10" s="1"/>
  <c r="V18" i="5"/>
  <c r="V33" i="5" s="1"/>
  <c r="V27" i="5" s="1"/>
  <c r="D36" i="5" s="1"/>
  <c r="E36" i="5" s="1"/>
  <c r="G31" i="5"/>
  <c r="P33" i="5"/>
  <c r="P30" i="5"/>
  <c r="S1" i="5"/>
  <c r="P32" i="5"/>
  <c r="D33" i="5"/>
  <c r="D32" i="5"/>
  <c r="I111" i="10"/>
  <c r="I113" i="10"/>
  <c r="J111" i="10"/>
  <c r="I112" i="10"/>
  <c r="R28" i="5"/>
  <c r="I110" i="10"/>
  <c r="L113" i="10"/>
  <c r="L112" i="10"/>
  <c r="J110" i="10"/>
  <c r="P31" i="5" l="1"/>
  <c r="W2" i="5" s="1"/>
  <c r="W28" i="5"/>
  <c r="V28" i="5" s="1"/>
  <c r="C30" i="5" s="1"/>
  <c r="C29" i="5"/>
  <c r="D103" i="10" l="1"/>
  <c r="D110" i="10" s="1"/>
  <c r="M28" i="5"/>
  <c r="D35" i="5"/>
  <c r="W1" i="5"/>
  <c r="W3" i="5" s="1"/>
  <c r="M29" i="5" s="1"/>
  <c r="O38" i="5"/>
  <c r="O41" i="5" s="1"/>
  <c r="U28" i="5"/>
  <c r="G29" i="5"/>
  <c r="D111" i="10" l="1"/>
  <c r="P38" i="5"/>
  <c r="F9" i="5" s="1"/>
  <c r="N22" i="5" s="1"/>
  <c r="D112" i="10"/>
  <c r="J112" i="10" s="1"/>
  <c r="G113" i="10"/>
  <c r="M113" i="10" s="1"/>
  <c r="D113" i="10"/>
  <c r="C131" i="10" s="1"/>
  <c r="D133" i="10" s="1"/>
  <c r="C133" i="10" s="1"/>
  <c r="C106" i="10"/>
  <c r="I106" i="10" s="1"/>
  <c r="G112" i="10"/>
  <c r="G130" i="10" s="1"/>
  <c r="F132" i="10" s="1"/>
  <c r="G132" i="10" s="1"/>
  <c r="D109" i="10"/>
  <c r="G109" i="10" s="1"/>
  <c r="M109" i="10" s="1"/>
  <c r="M112" i="10"/>
  <c r="J113" i="10"/>
  <c r="D174" i="10"/>
  <c r="AA36" i="4"/>
  <c r="Z26" i="4"/>
  <c r="AG32" i="4"/>
  <c r="AG36" i="4" s="1"/>
  <c r="AA26" i="4"/>
  <c r="X32" i="4" s="1"/>
  <c r="X36" i="4" s="1"/>
  <c r="AD32" i="4"/>
  <c r="AD36" i="4" s="1"/>
  <c r="J131" i="10" l="1"/>
  <c r="I133" i="10" s="1"/>
  <c r="J133" i="10" s="1"/>
  <c r="G126" i="10"/>
  <c r="P109" i="10" s="1"/>
  <c r="Q109" i="10" s="1"/>
  <c r="J130" i="10"/>
  <c r="I132" i="10" s="1"/>
  <c r="J132" i="10" s="1"/>
  <c r="C130" i="10"/>
  <c r="D132" i="10" s="1"/>
  <c r="C132" i="10" s="1"/>
  <c r="C114" i="10"/>
  <c r="F114" i="10" s="1"/>
  <c r="G131" i="10"/>
  <c r="F133" i="10" s="1"/>
  <c r="G133" i="10" s="1"/>
  <c r="D121" i="10"/>
  <c r="D123" i="10" s="1"/>
  <c r="J123" i="10" s="1"/>
  <c r="J109" i="10"/>
  <c r="C127" i="10"/>
  <c r="O110" i="10" s="1"/>
  <c r="Q110" i="10" s="1"/>
  <c r="AB26" i="4"/>
  <c r="AC26" i="4" s="1"/>
  <c r="AE26" i="4" s="1"/>
  <c r="I114" i="10"/>
  <c r="J121" i="10" l="1"/>
  <c r="O111" i="10"/>
  <c r="G121" i="10"/>
  <c r="G123" i="10" s="1"/>
  <c r="M123" i="10" s="1"/>
  <c r="AB9" i="4"/>
  <c r="AB4" i="4"/>
  <c r="O112" i="10"/>
  <c r="F118" i="10"/>
  <c r="L118" i="10" s="1"/>
  <c r="L114" i="10"/>
  <c r="AC9" i="4"/>
  <c r="AH9" i="4" s="1"/>
  <c r="Y10" i="4" s="1"/>
  <c r="G125" i="10" l="1"/>
  <c r="M125" i="10" s="1"/>
  <c r="M121" i="10"/>
  <c r="Z10" i="4"/>
  <c r="AA10" i="4" s="1"/>
  <c r="AE10" i="4"/>
  <c r="AB10" i="4"/>
  <c r="AC10" i="4" l="1"/>
  <c r="AF10" i="4"/>
  <c r="AG10" i="4" s="1"/>
  <c r="AD10" i="4" s="1"/>
  <c r="AH10" i="4" s="1"/>
  <c r="Y11" i="4" s="1"/>
  <c r="Z11" i="4" l="1"/>
  <c r="AA11" i="4" s="1"/>
  <c r="AE11" i="4"/>
  <c r="AB11" i="4"/>
  <c r="AC11" i="4" l="1"/>
  <c r="AF11" i="4"/>
  <c r="AG11" i="4" s="1"/>
  <c r="AD11" i="4" s="1"/>
  <c r="AH11" i="4" s="1"/>
  <c r="Y12" i="4" s="1"/>
  <c r="Z12" i="4" l="1"/>
  <c r="AA12" i="4" s="1"/>
  <c r="AE12" i="4"/>
  <c r="AB12" i="4"/>
  <c r="AC12" i="4" l="1"/>
  <c r="AF12" i="4"/>
  <c r="AG12" i="4" s="1"/>
  <c r="AD12" i="4" s="1"/>
  <c r="AH12" i="4" s="1"/>
  <c r="Y13" i="4" s="1"/>
  <c r="Z13" i="4" l="1"/>
  <c r="AA13" i="4" s="1"/>
  <c r="Y4" i="4"/>
  <c r="AE13" i="4"/>
  <c r="AB13" i="4"/>
  <c r="AC13" i="4" l="1"/>
  <c r="AF13" i="4"/>
  <c r="AG13" i="4" s="1"/>
  <c r="AD13" i="4" s="1"/>
  <c r="AH13" i="4" s="1"/>
  <c r="Z4" i="4"/>
  <c r="AA4" i="4" s="1"/>
  <c r="AC4" i="4" s="1"/>
  <c r="I26" i="4" s="1"/>
  <c r="J26" i="4"/>
  <c r="AE4" i="4"/>
  <c r="U32" i="4" l="1"/>
  <c r="U31" i="4"/>
  <c r="R32" i="4"/>
  <c r="R31" i="4"/>
  <c r="R16" i="4" s="1"/>
  <c r="R17" i="4" s="1"/>
  <c r="O28" i="4"/>
  <c r="AF4" i="4"/>
  <c r="AG4" i="4" s="1"/>
  <c r="AD4" i="4" s="1"/>
  <c r="AH4" i="4" s="1"/>
  <c r="U34" i="4" l="1"/>
  <c r="U16" i="4"/>
  <c r="U17" i="4" s="1"/>
  <c r="J173" i="10"/>
  <c r="I168" i="10"/>
  <c r="J155" i="10"/>
  <c r="I140" i="10"/>
  <c r="M174" i="10"/>
  <c r="I170" i="10"/>
  <c r="M160" i="10"/>
  <c r="L157" i="10"/>
  <c r="N28" i="4"/>
  <c r="J162" i="10"/>
  <c r="M169" i="10"/>
  <c r="M141" i="10"/>
  <c r="L172" i="10"/>
  <c r="M166" i="10"/>
  <c r="J171" i="10"/>
  <c r="L158" i="10"/>
  <c r="J143" i="10"/>
  <c r="J161" i="10"/>
  <c r="M139" i="10"/>
  <c r="M161" i="10"/>
  <c r="L141" i="10"/>
  <c r="L174" i="10"/>
  <c r="J160" i="10"/>
  <c r="I160" i="10"/>
  <c r="M158" i="10"/>
  <c r="J156" i="10"/>
  <c r="M173" i="10"/>
  <c r="I158" i="10"/>
  <c r="L169" i="10"/>
  <c r="L168" i="10"/>
  <c r="L162" i="10"/>
  <c r="M142" i="10"/>
  <c r="M165" i="10"/>
  <c r="M156" i="10"/>
  <c r="I142" i="10"/>
  <c r="I162" i="10"/>
  <c r="I173" i="10"/>
  <c r="L164" i="10"/>
  <c r="J158" i="10"/>
  <c r="C31" i="4"/>
  <c r="J165" i="10"/>
  <c r="I156" i="10"/>
  <c r="M157" i="10"/>
  <c r="L144" i="10"/>
  <c r="M164" i="10"/>
  <c r="I169" i="10"/>
  <c r="M162" i="10"/>
  <c r="I143" i="10"/>
  <c r="L167" i="10"/>
  <c r="L142" i="10"/>
  <c r="I166" i="10"/>
  <c r="J157" i="10"/>
  <c r="J166" i="10"/>
  <c r="J159" i="10"/>
  <c r="L165" i="10"/>
  <c r="J174" i="10"/>
  <c r="J141" i="10"/>
  <c r="I157" i="10"/>
  <c r="L166" i="10"/>
  <c r="I174" i="10"/>
  <c r="I165" i="10"/>
  <c r="L170" i="10"/>
  <c r="I171" i="10"/>
  <c r="L160" i="10"/>
  <c r="M171" i="10"/>
  <c r="L140" i="10"/>
  <c r="C28" i="4"/>
  <c r="J167" i="10"/>
  <c r="L171" i="10"/>
  <c r="E33" i="4"/>
  <c r="J163" i="10"/>
  <c r="J139" i="10"/>
  <c r="I172" i="10"/>
  <c r="I141" i="10"/>
  <c r="J140" i="10"/>
  <c r="M159" i="10"/>
  <c r="I164" i="10"/>
  <c r="M167" i="10"/>
  <c r="I167" i="10"/>
  <c r="L156" i="10"/>
  <c r="J169" i="10"/>
  <c r="I144" i="10"/>
  <c r="M163" i="10"/>
  <c r="M140" i="10"/>
  <c r="L173" i="10"/>
  <c r="M172" i="10"/>
  <c r="J164" i="10"/>
  <c r="M155" i="10"/>
  <c r="L143" i="10"/>
  <c r="M143" i="10" s="1"/>
  <c r="R18" i="4"/>
  <c r="R33" i="4" s="1"/>
  <c r="R19" i="4"/>
  <c r="R20" i="4" s="1"/>
  <c r="R27" i="4" l="1"/>
  <c r="R28" i="4" s="1"/>
  <c r="R26" i="4"/>
  <c r="R29" i="4" s="1"/>
  <c r="R34" i="4"/>
  <c r="U26" i="4"/>
  <c r="U29" i="4" s="1"/>
  <c r="U19" i="4"/>
  <c r="U20" i="4" s="1"/>
  <c r="U18" i="4"/>
  <c r="U33" i="4" s="1"/>
  <c r="U27" i="4" s="1"/>
  <c r="U35" i="4" l="1"/>
  <c r="N179" i="10" s="1"/>
  <c r="V28" i="4"/>
  <c r="U28" i="4" s="1"/>
  <c r="I147" i="10"/>
  <c r="J148" i="10"/>
  <c r="L147" i="10"/>
  <c r="L145" i="10"/>
  <c r="M146" i="10"/>
  <c r="J147" i="10"/>
  <c r="M145" i="10"/>
  <c r="L146" i="10"/>
  <c r="I148" i="10"/>
  <c r="M148" i="10"/>
  <c r="M147" i="10"/>
  <c r="I145" i="10"/>
  <c r="L148" i="10"/>
  <c r="Q28" i="4"/>
  <c r="I146" i="10"/>
  <c r="J146" i="10"/>
  <c r="J145" i="10"/>
  <c r="I152" i="10"/>
  <c r="I149" i="10"/>
  <c r="G31" i="4"/>
  <c r="R1" i="4"/>
  <c r="L149" i="10"/>
  <c r="L152" i="10"/>
  <c r="L150" i="10"/>
  <c r="L151" i="10"/>
  <c r="I154" i="10"/>
  <c r="D33" i="4"/>
  <c r="D36" i="4"/>
  <c r="E36" i="4" s="1"/>
  <c r="D31" i="4"/>
  <c r="I150" i="10"/>
  <c r="I151" i="10"/>
  <c r="O33" i="4"/>
  <c r="D32" i="4"/>
  <c r="O32" i="4"/>
  <c r="O30" i="4"/>
  <c r="I153" i="10"/>
  <c r="L153" i="10"/>
  <c r="L154" i="10"/>
  <c r="O31" i="4" l="1"/>
  <c r="D35" i="4" s="1"/>
  <c r="T28" i="4"/>
  <c r="N38" i="4"/>
  <c r="N40" i="4" s="1"/>
  <c r="C30" i="4"/>
  <c r="G29" i="4"/>
  <c r="C29" i="4"/>
  <c r="M30" i="4" l="1"/>
  <c r="D136" i="10"/>
  <c r="D147" i="10" s="1"/>
  <c r="F10" i="4"/>
  <c r="O38" i="4"/>
  <c r="F9" i="4" s="1"/>
  <c r="G151" i="10" l="1"/>
  <c r="G183" i="10" s="1"/>
  <c r="F185" i="10" s="1"/>
  <c r="G185" i="10" s="1"/>
  <c r="D150" i="10"/>
  <c r="C139" i="10"/>
  <c r="F139" i="10"/>
  <c r="D144" i="10"/>
  <c r="O142" i="10" s="1"/>
  <c r="D146" i="10"/>
  <c r="G147" i="10"/>
  <c r="D154" i="10"/>
  <c r="G154" i="10" s="1"/>
  <c r="G150" i="10"/>
  <c r="D149" i="10"/>
  <c r="J149" i="10" s="1"/>
  <c r="G144" i="10"/>
  <c r="D151" i="10"/>
  <c r="J151" i="10" s="1"/>
  <c r="D153" i="10"/>
  <c r="D187" i="10" s="1"/>
  <c r="C189" i="10" s="1"/>
  <c r="D189" i="10" s="1"/>
  <c r="G149" i="10"/>
  <c r="J179" i="10" s="1"/>
  <c r="I181" i="10" s="1"/>
  <c r="J181" i="10" s="1"/>
  <c r="D145" i="10"/>
  <c r="D148" i="10"/>
  <c r="G148" i="10" s="1"/>
  <c r="D152" i="10"/>
  <c r="J150" i="10"/>
  <c r="L139" i="10"/>
  <c r="P141" i="10"/>
  <c r="C155" i="10"/>
  <c r="I139" i="10"/>
  <c r="J144" i="10"/>
  <c r="M183" i="10"/>
  <c r="L185" i="10" s="1"/>
  <c r="M185" i="10" s="1"/>
  <c r="M151" i="10"/>
  <c r="M149" i="10"/>
  <c r="J183" i="10" l="1"/>
  <c r="I185" i="10" s="1"/>
  <c r="J185" i="10" s="1"/>
  <c r="G180" i="10"/>
  <c r="F182" i="10" s="1"/>
  <c r="G182" i="10" s="1"/>
  <c r="M184" i="10"/>
  <c r="L186" i="10" s="1"/>
  <c r="M186" i="10" s="1"/>
  <c r="I155" i="10"/>
  <c r="C163" i="10"/>
  <c r="I163" i="10" s="1"/>
  <c r="C159" i="10"/>
  <c r="I159" i="10" s="1"/>
  <c r="C161" i="10"/>
  <c r="I161" i="10" s="1"/>
  <c r="F175" i="10"/>
  <c r="O141" i="10" s="1"/>
  <c r="Q141" i="10" s="1"/>
  <c r="F141" i="10"/>
  <c r="F155" i="10"/>
  <c r="J153" i="10"/>
  <c r="D180" i="10"/>
  <c r="C182" i="10" s="1"/>
  <c r="D182" i="10" s="1"/>
  <c r="D142" i="10"/>
  <c r="J142" i="10" s="1"/>
  <c r="D179" i="10"/>
  <c r="C181" i="10" s="1"/>
  <c r="D181" i="10" s="1"/>
  <c r="J154" i="10"/>
  <c r="D188" i="10"/>
  <c r="C190" i="10" s="1"/>
  <c r="D190" i="10" s="1"/>
  <c r="M150" i="10"/>
  <c r="G179" i="10"/>
  <c r="F181" i="10" s="1"/>
  <c r="G181" i="10" s="1"/>
  <c r="M144" i="10"/>
  <c r="G152" i="10"/>
  <c r="G184" i="10" s="1"/>
  <c r="F186" i="10" s="1"/>
  <c r="G186" i="10" s="1"/>
  <c r="G153" i="10"/>
  <c r="M153" i="10" s="1"/>
  <c r="J184" i="10"/>
  <c r="I186" i="10" s="1"/>
  <c r="J186" i="10" s="1"/>
  <c r="J152" i="10"/>
  <c r="D168" i="10"/>
  <c r="J168" i="10" s="1"/>
  <c r="J180" i="10"/>
  <c r="I182" i="10" s="1"/>
  <c r="J182" i="10" s="1"/>
  <c r="D176" i="10"/>
  <c r="P142" i="10" s="1"/>
  <c r="Q142" i="10" s="1"/>
  <c r="G168" i="10"/>
  <c r="L180" i="10"/>
  <c r="M182" i="10" s="1"/>
  <c r="L182" i="10" s="1"/>
  <c r="M154" i="10"/>
  <c r="L155" i="10" l="1"/>
  <c r="F161" i="10"/>
  <c r="L161" i="10" s="1"/>
  <c r="F163" i="10"/>
  <c r="L163" i="10" s="1"/>
  <c r="F159" i="10"/>
  <c r="L159" i="10" s="1"/>
  <c r="G170" i="10"/>
  <c r="M170" i="10" s="1"/>
  <c r="M168" i="10"/>
  <c r="D183" i="10"/>
  <c r="C185" i="10" s="1"/>
  <c r="D185" i="10" s="1"/>
  <c r="D172" i="10"/>
  <c r="J172" i="10" s="1"/>
  <c r="D170" i="10"/>
  <c r="J170" i="10" s="1"/>
  <c r="O144" i="10"/>
  <c r="M152" i="10"/>
  <c r="D184" i="10"/>
  <c r="C186" i="10" s="1"/>
  <c r="D186" i="10" s="1"/>
  <c r="L179" i="10"/>
  <c r="M181" i="10" s="1"/>
  <c r="L181" i="10" s="1"/>
  <c r="O143" i="10"/>
</calcChain>
</file>

<file path=xl/sharedStrings.xml><?xml version="1.0" encoding="utf-8"?>
<sst xmlns="http://schemas.openxmlformats.org/spreadsheetml/2006/main" count="1565" uniqueCount="445">
  <si>
    <t>a</t>
  </si>
  <si>
    <t>deduct</t>
  </si>
  <si>
    <t>No</t>
  </si>
  <si>
    <t>Per No</t>
  </si>
  <si>
    <t>mm</t>
  </si>
  <si>
    <t>A</t>
  </si>
  <si>
    <t>B</t>
  </si>
  <si>
    <t>E</t>
  </si>
  <si>
    <t>F</t>
  </si>
  <si>
    <t>(enhancement factor)</t>
  </si>
  <si>
    <t>h</t>
  </si>
  <si>
    <t>ult UDL</t>
  </si>
  <si>
    <t>kN</t>
  </si>
  <si>
    <t xml:space="preserve"> Project</t>
  </si>
  <si>
    <t xml:space="preserve"> Client</t>
  </si>
  <si>
    <t xml:space="preserve"> Made by</t>
  </si>
  <si>
    <t xml:space="preserve"> Date</t>
  </si>
  <si>
    <t xml:space="preserve"> Page</t>
  </si>
  <si>
    <t xml:space="preserve"> Location</t>
  </si>
  <si>
    <t xml:space="preserve"> Checked</t>
  </si>
  <si>
    <t xml:space="preserve"> Revision</t>
  </si>
  <si>
    <t xml:space="preserve"> Job No</t>
  </si>
  <si>
    <r>
      <t>N/mm</t>
    </r>
    <r>
      <rPr>
        <vertAlign val="superscript"/>
        <sz val="10"/>
        <rFont val="Tekton"/>
        <family val="2"/>
      </rPr>
      <t>2</t>
    </r>
  </si>
  <si>
    <t xml:space="preserve"> MATERIALS</t>
  </si>
  <si>
    <t xml:space="preserve"> DIMENSIONS</t>
  </si>
  <si>
    <t xml:space="preserve"> SLAB</t>
  </si>
  <si>
    <r>
      <t>kN/m</t>
    </r>
    <r>
      <rPr>
        <vertAlign val="superscript"/>
        <sz val="10"/>
        <rFont val="Tekton"/>
        <family val="2"/>
      </rPr>
      <t>2</t>
    </r>
  </si>
  <si>
    <t>dy</t>
  </si>
  <si>
    <t>Asy</t>
  </si>
  <si>
    <r>
      <t>mm</t>
    </r>
    <r>
      <rPr>
        <vertAlign val="superscript"/>
        <sz val="10"/>
        <rFont val="Tekton"/>
        <family val="2"/>
      </rPr>
      <t>2</t>
    </r>
    <r>
      <rPr>
        <sz val="10"/>
        <rFont val="Tekton"/>
        <family val="2"/>
      </rPr>
      <t>/m</t>
    </r>
  </si>
  <si>
    <t xml:space="preserve"> LOADING</t>
  </si>
  <si>
    <t xml:space="preserve"> RESULTS</t>
  </si>
  <si>
    <t>Shear Enhancement</t>
  </si>
  <si>
    <t>Internal</t>
  </si>
  <si>
    <t>Corner</t>
  </si>
  <si>
    <t>Edge C</t>
  </si>
  <si>
    <t>Edge D</t>
  </si>
  <si>
    <t>Choose</t>
  </si>
  <si>
    <t xml:space="preserve"> CRITICAL PERIMETERS</t>
  </si>
  <si>
    <t>Column</t>
  </si>
  <si>
    <t>STATUS</t>
  </si>
  <si>
    <t>CHECKS</t>
  </si>
  <si>
    <t>Date</t>
  </si>
  <si>
    <t>Version</t>
  </si>
  <si>
    <t>Action</t>
  </si>
  <si>
    <t>Hole face</t>
  </si>
  <si>
    <t>Col face</t>
  </si>
  <si>
    <t>Disclaimer</t>
  </si>
  <si>
    <t>Status of spreadsheet</t>
  </si>
  <si>
    <t>G</t>
  </si>
  <si>
    <t>H</t>
  </si>
  <si>
    <t>Side B</t>
  </si>
  <si>
    <t>touch</t>
  </si>
  <si>
    <t>Side A</t>
  </si>
  <si>
    <t>overlap</t>
  </si>
  <si>
    <t>Hole</t>
  </si>
  <si>
    <t>D</t>
  </si>
  <si>
    <t>C</t>
  </si>
  <si>
    <t xml:space="preserve"> </t>
  </si>
  <si>
    <t>-</t>
  </si>
  <si>
    <t>Columns A1, D1, A5 &amp; D5</t>
  </si>
  <si>
    <t>An example</t>
  </si>
  <si>
    <t>First issue for in-house comment</t>
  </si>
  <si>
    <t xml:space="preserve">INTERNAL </t>
  </si>
  <si>
    <t xml:space="preserve">COLUMN </t>
  </si>
  <si>
    <t xml:space="preserve">EDGE </t>
  </si>
  <si>
    <t xml:space="preserve">CORNER </t>
  </si>
  <si>
    <t xml:space="preserve">RE-ENTRANT </t>
  </si>
  <si>
    <t>fck</t>
  </si>
  <si>
    <t>fyk</t>
  </si>
  <si>
    <t>LEGEND</t>
  </si>
  <si>
    <t xml:space="preserve"> LOADED AREAS</t>
  </si>
  <si>
    <t>At col. face, vEd =</t>
  </si>
  <si>
    <t>At hole face, vEd =</t>
  </si>
  <si>
    <r>
      <t>V</t>
    </r>
    <r>
      <rPr>
        <vertAlign val="subscript"/>
        <sz val="12"/>
        <rFont val="Tekton"/>
        <family val="2"/>
      </rPr>
      <t>Ed</t>
    </r>
  </si>
  <si>
    <r>
      <t>n</t>
    </r>
    <r>
      <rPr>
        <sz val="12"/>
        <rFont val="Tekton"/>
        <family val="2"/>
      </rPr>
      <t xml:space="preserve"> =</t>
    </r>
  </si>
  <si>
    <t>fcd =</t>
  </si>
  <si>
    <t>k =</t>
  </si>
  <si>
    <t>MAX a =</t>
  </si>
  <si>
    <t>in B + 6d</t>
  </si>
  <si>
    <t>in A + 6d</t>
  </si>
  <si>
    <t>in B + 3d+D</t>
  </si>
  <si>
    <t>in A + 3d+C</t>
  </si>
  <si>
    <t>MAX ax =</t>
  </si>
  <si>
    <t>MAX ay =</t>
  </si>
  <si>
    <t>Edge</t>
  </si>
  <si>
    <t>Y strip =</t>
  </si>
  <si>
    <t>X strip =</t>
  </si>
  <si>
    <t>and</t>
  </si>
  <si>
    <t>Notes added re re-spacing of links</t>
  </si>
  <si>
    <t>d</t>
  </si>
  <si>
    <r>
      <t>f</t>
    </r>
    <r>
      <rPr>
        <vertAlign val="subscript"/>
        <sz val="13"/>
        <rFont val="Tekton"/>
        <family val="2"/>
      </rPr>
      <t>ywd,ef</t>
    </r>
    <r>
      <rPr>
        <sz val="13"/>
        <rFont val="Tekton"/>
        <family val="2"/>
      </rPr>
      <t xml:space="preserve"> =</t>
    </r>
  </si>
  <si>
    <t>St,x =</t>
  </si>
  <si>
    <t>St,y =</t>
  </si>
  <si>
    <t>Rows</t>
  </si>
  <si>
    <t>Side</t>
  </si>
  <si>
    <t>OK?</t>
  </si>
  <si>
    <t>link Ø =</t>
  </si>
  <si>
    <t>X spurs =</t>
  </si>
  <si>
    <t>Y spurs =</t>
  </si>
  <si>
    <t>Uout =</t>
  </si>
  <si>
    <t>Solution 6.22 (B)</t>
  </si>
  <si>
    <t>mm from face</t>
  </si>
  <si>
    <t xml:space="preserve"> INTERNAL</t>
  </si>
  <si>
    <t xml:space="preserve"> EDGE</t>
  </si>
  <si>
    <t xml:space="preserve"> CORNER</t>
  </si>
  <si>
    <t xml:space="preserve"> REENTRANT</t>
  </si>
  <si>
    <t>Charting Data</t>
  </si>
  <si>
    <t>Last link at</t>
  </si>
  <si>
    <t>from col face</t>
  </si>
  <si>
    <t>2nd link =</t>
  </si>
  <si>
    <t>Sr =</t>
  </si>
  <si>
    <t>Asw/Sr prov =</t>
  </si>
  <si>
    <t>Asw/Sr req =</t>
  </si>
  <si>
    <t>St, last links</t>
  </si>
  <si>
    <r>
      <t>St</t>
    </r>
    <r>
      <rPr>
        <vertAlign val="subscript"/>
        <sz val="12"/>
        <color indexed="17"/>
        <rFont val="Tekton"/>
        <family val="2"/>
      </rPr>
      <t>max</t>
    </r>
    <r>
      <rPr>
        <sz val="12"/>
        <color indexed="17"/>
        <rFont val="Tekton"/>
        <family val="2"/>
      </rPr>
      <t>&lt;= 2d ?</t>
    </r>
  </si>
  <si>
    <r>
      <t>St</t>
    </r>
    <r>
      <rPr>
        <sz val="12"/>
        <rFont val="Technical"/>
        <family val="4"/>
      </rPr>
      <t xml:space="preserve"> =</t>
    </r>
  </si>
  <si>
    <t>Legs</t>
  </si>
  <si>
    <t>per spur</t>
  </si>
  <si>
    <t>links</t>
  </si>
  <si>
    <t>First link perimeter</t>
  </si>
  <si>
    <t>mm from column face</t>
  </si>
  <si>
    <t>Spur length =</t>
  </si>
  <si>
    <t>Links per spur =</t>
  </si>
  <si>
    <t>Spur</t>
  </si>
  <si>
    <t>First at</t>
  </si>
  <si>
    <t>E-W</t>
  </si>
  <si>
    <t>N-S</t>
  </si>
  <si>
    <t>NW+NE</t>
  </si>
  <si>
    <t>SW+SE</t>
  </si>
  <si>
    <t>NNW+NNE</t>
  </si>
  <si>
    <t>SSW+SSE</t>
  </si>
  <si>
    <t>WNW+ENE</t>
  </si>
  <si>
    <t>WSW+ESE</t>
  </si>
  <si>
    <t>Spurs =</t>
  </si>
  <si>
    <t>EW B2</t>
  </si>
  <si>
    <t>EW B1</t>
  </si>
  <si>
    <t>EW B4</t>
  </si>
  <si>
    <t>EW B5</t>
  </si>
  <si>
    <t>EW B6</t>
  </si>
  <si>
    <t>NS B2</t>
  </si>
  <si>
    <t>NS B4</t>
  </si>
  <si>
    <t>NS B5</t>
  </si>
  <si>
    <t>NS B6</t>
  </si>
  <si>
    <t>NS B1</t>
  </si>
  <si>
    <t>Square it</t>
  </si>
  <si>
    <t>Some links shown may need to be re-located to avoid holes.</t>
  </si>
  <si>
    <t>Hole deduct ?</t>
  </si>
  <si>
    <t>E-W1</t>
  </si>
  <si>
    <t>E-W2</t>
  </si>
  <si>
    <t>NS B1 &amp; B2</t>
  </si>
  <si>
    <t>NS B4 &amp; B5</t>
  </si>
  <si>
    <t>Asw/Sr min =</t>
  </si>
  <si>
    <t>try X spurs =</t>
  </si>
  <si>
    <t>try Y spurs =</t>
  </si>
  <si>
    <t>Max side</t>
  </si>
  <si>
    <t>Min side</t>
  </si>
  <si>
    <t>Last link @</t>
  </si>
  <si>
    <t>C req =</t>
  </si>
  <si>
    <t>C actual =</t>
  </si>
  <si>
    <t>e split =</t>
  </si>
  <si>
    <t>See GEOMETRY page for link locations.</t>
  </si>
  <si>
    <t>LINK CONFIGURATIONS</t>
  </si>
  <si>
    <t>8 SPURS</t>
  </si>
  <si>
    <t>12 SPURS</t>
  </si>
  <si>
    <t>Column strip widths are</t>
  </si>
  <si>
    <t>SE</t>
  </si>
  <si>
    <t>ESE+SSE</t>
  </si>
  <si>
    <t>EW B1 &amp; 2</t>
  </si>
  <si>
    <t>EW B4 &amp; B5</t>
  </si>
  <si>
    <t>N-S2&amp;E-W2</t>
  </si>
  <si>
    <t>NE</t>
  </si>
  <si>
    <t>NNE+ENE</t>
  </si>
  <si>
    <t>EW B3</t>
  </si>
  <si>
    <t>NS B3</t>
  </si>
  <si>
    <t>NS B6 &amp; B3</t>
  </si>
  <si>
    <t>EW B6 &amp; B3</t>
  </si>
  <si>
    <t>Re-written to final draft of EN.</t>
  </si>
  <si>
    <t>b/2</t>
  </si>
  <si>
    <t>c/2</t>
  </si>
  <si>
    <t>D/d</t>
  </si>
  <si>
    <t>BL</t>
  </si>
  <si>
    <t>BR</t>
  </si>
  <si>
    <t>TL</t>
  </si>
  <si>
    <t>TR</t>
  </si>
  <si>
    <t>X =</t>
  </si>
  <si>
    <t>Y =</t>
  </si>
  <si>
    <r>
      <t xml:space="preserve">tan </t>
    </r>
    <r>
      <rPr>
        <sz val="12"/>
        <rFont val="Symbol"/>
        <family val="1"/>
        <charset val="2"/>
      </rPr>
      <t>a</t>
    </r>
    <r>
      <rPr>
        <sz val="12"/>
        <rFont val="Tekton"/>
        <family val="2"/>
      </rPr>
      <t xml:space="preserve"> =</t>
    </r>
  </si>
  <si>
    <r>
      <t xml:space="preserve">tan </t>
    </r>
    <r>
      <rPr>
        <sz val="12"/>
        <rFont val="Symbol"/>
        <family val="1"/>
        <charset val="2"/>
      </rPr>
      <t>b</t>
    </r>
    <r>
      <rPr>
        <sz val="12"/>
        <rFont val="Tekton"/>
        <family val="2"/>
      </rPr>
      <t xml:space="preserve"> =</t>
    </r>
  </si>
  <si>
    <t>T Tan</t>
  </si>
  <si>
    <t>R Tan</t>
  </si>
  <si>
    <t>Reduction</t>
  </si>
  <si>
    <t>N</t>
  </si>
  <si>
    <t>S</t>
  </si>
  <si>
    <t>¯¯®</t>
  </si>
  <si>
    <t>®¯®</t>
  </si>
  <si>
    <t>®­®</t>
  </si>
  <si>
    <t>­­®</t>
  </si>
  <si>
    <t>¬­­</t>
  </si>
  <si>
    <t>¬­¬</t>
  </si>
  <si>
    <t>¬¯¯</t>
  </si>
  <si>
    <t>¬¯¬</t>
  </si>
  <si>
    <t>W</t>
  </si>
  <si>
    <t>Centre</t>
  </si>
  <si>
    <t>HOLE REDUCTION</t>
  </si>
  <si>
    <t>Rigorous hole reduction algorithms added.</t>
  </si>
  <si>
    <t>EC2 Ref</t>
  </si>
  <si>
    <t>Function</t>
  </si>
  <si>
    <t>Value</t>
  </si>
  <si>
    <t>CODE</t>
  </si>
  <si>
    <t>UK</t>
  </si>
  <si>
    <t>Table 2.2</t>
  </si>
  <si>
    <t>concrete</t>
  </si>
  <si>
    <t>steel</t>
  </si>
  <si>
    <t>3.1.6 (1)P</t>
  </si>
  <si>
    <t>- = -</t>
  </si>
  <si>
    <t>punching shear basic stress</t>
  </si>
  <si>
    <t xml:space="preserve">Equation (6.47) </t>
  </si>
  <si>
    <t xml:space="preserve">Equation (6.54) </t>
  </si>
  <si>
    <t>(6.52) &amp; (9.11)</t>
  </si>
  <si>
    <t>National Annex sheet added and referenced. Updated to final code.</t>
  </si>
  <si>
    <t>C req</t>
  </si>
  <si>
    <t>C req (hole)</t>
  </si>
  <si>
    <t>o/s hole =</t>
  </si>
  <si>
    <t>Uout 1</t>
  </si>
  <si>
    <t>legs</t>
  </si>
  <si>
    <t>Extra</t>
  </si>
  <si>
    <t>Extra 3 spurs of</t>
  </si>
  <si>
    <t>Extra 9 spurs of</t>
  </si>
  <si>
    <t>Extra 6 spurs of</t>
  </si>
  <si>
    <t>Extra 12 spurs of</t>
  </si>
  <si>
    <t>RCCen13 β7</t>
  </si>
  <si>
    <t>RCCen13 β6</t>
  </si>
  <si>
    <t>RCCen13 β5</t>
  </si>
  <si>
    <t>RCCen13 β4</t>
  </si>
  <si>
    <t>RCCen13 β3</t>
  </si>
  <si>
    <t>RCCen13 β2</t>
  </si>
  <si>
    <t>RCCen13 β1</t>
  </si>
  <si>
    <t>Secondary spurs added when transverse spacing &gt; 2d.</t>
  </si>
  <si>
    <r>
      <t>v</t>
    </r>
    <r>
      <rPr>
        <vertAlign val="subscript"/>
        <sz val="12"/>
        <color indexed="17"/>
        <rFont val="Trebuchet MS"/>
        <family val="2"/>
      </rPr>
      <t>Ed,red</t>
    </r>
  </si>
  <si>
    <t>PLAN</t>
  </si>
  <si>
    <t>SPUR</t>
  </si>
  <si>
    <r>
      <t>βV</t>
    </r>
    <r>
      <rPr>
        <vertAlign val="subscript"/>
        <sz val="12"/>
        <rFont val="Tekton"/>
        <family val="2"/>
      </rPr>
      <t>Ed</t>
    </r>
    <r>
      <rPr>
        <sz val="12"/>
        <rFont val="Tekton"/>
        <family val="2"/>
      </rPr>
      <t xml:space="preserve"> =</t>
    </r>
  </si>
  <si>
    <t>National Annex values</t>
  </si>
  <si>
    <r>
      <t>γ</t>
    </r>
    <r>
      <rPr>
        <vertAlign val="subscript"/>
        <sz val="12"/>
        <rFont val="Trebuchet MS"/>
        <family val="2"/>
      </rPr>
      <t>c</t>
    </r>
  </si>
  <si>
    <r>
      <t>γ</t>
    </r>
    <r>
      <rPr>
        <vertAlign val="subscript"/>
        <sz val="12"/>
        <rFont val="Trebuchet MS"/>
        <family val="2"/>
      </rPr>
      <t>s</t>
    </r>
  </si>
  <si>
    <r>
      <t>α</t>
    </r>
    <r>
      <rPr>
        <vertAlign val="subscript"/>
        <sz val="12"/>
        <rFont val="Trebuchet MS"/>
        <family val="2"/>
      </rPr>
      <t>cc</t>
    </r>
  </si>
  <si>
    <r>
      <t>C</t>
    </r>
    <r>
      <rPr>
        <vertAlign val="subscript"/>
        <sz val="12"/>
        <rFont val="Trebuchet MS"/>
        <family val="2"/>
      </rPr>
      <t>Rd,c</t>
    </r>
  </si>
  <si>
    <r>
      <t>v</t>
    </r>
    <r>
      <rPr>
        <vertAlign val="subscript"/>
        <sz val="12"/>
        <rFont val="Trebuchet MS"/>
        <family val="2"/>
      </rPr>
      <t>min</t>
    </r>
  </si>
  <si>
    <t>PUNCHING SHEAR to BS EN 1992-1: 2004</t>
  </si>
  <si>
    <t>3.1.2(2)</t>
  </si>
  <si>
    <r>
      <t>C</t>
    </r>
    <r>
      <rPr>
        <vertAlign val="subscript"/>
        <sz val="12"/>
        <rFont val="Trebuchet MS"/>
        <family val="2"/>
      </rPr>
      <t>max</t>
    </r>
    <r>
      <rPr>
        <sz val="12"/>
        <rFont val="Trebuchet MS"/>
        <family val="2"/>
      </rPr>
      <t xml:space="preserve"> shear</t>
    </r>
  </si>
  <si>
    <t>*</t>
  </si>
  <si>
    <r>
      <t>*</t>
    </r>
    <r>
      <rPr>
        <sz val="12"/>
        <color indexed="16"/>
        <rFont val="Technical"/>
        <family val="4"/>
      </rPr>
      <t xml:space="preserve"> May be greater on the basis of tests</t>
    </r>
  </si>
  <si>
    <t>Redundant link dia input removed. Enhancement terminology corrected. "Increase As" warnings added.</t>
  </si>
  <si>
    <t>TCC13 v1.0</t>
  </si>
  <si>
    <r>
      <t xml:space="preserve">Solution 6.22 (A) </t>
    </r>
    <r>
      <rPr>
        <sz val="12"/>
        <color indexed="17"/>
        <rFont val="Marker"/>
        <family val="2"/>
      </rPr>
      <t xml:space="preserve"> </t>
    </r>
    <r>
      <rPr>
        <sz val="12"/>
        <rFont val="Tekton"/>
        <family val="2"/>
      </rPr>
      <t>Spurs =</t>
    </r>
  </si>
  <si>
    <r>
      <t xml:space="preserve">Solution 6.22 (A) </t>
    </r>
    <r>
      <rPr>
        <sz val="12"/>
        <color indexed="62"/>
        <rFont val="Marker"/>
        <family val="2"/>
      </rPr>
      <t xml:space="preserve"> </t>
    </r>
    <r>
      <rPr>
        <sz val="12"/>
        <rFont val="Tekton"/>
        <family val="2"/>
      </rPr>
      <t>Spurs =</t>
    </r>
  </si>
  <si>
    <t>vEd,red</t>
  </si>
  <si>
    <r>
      <t>Choose μ</t>
    </r>
    <r>
      <rPr>
        <b/>
        <vertAlign val="subscript"/>
        <sz val="12"/>
        <color indexed="62"/>
        <rFont val="Trebuchet MS"/>
        <family val="2"/>
      </rPr>
      <t>1</t>
    </r>
  </si>
  <si>
    <t>Steel class</t>
  </si>
  <si>
    <t>strength factor (shear)</t>
  </si>
  <si>
    <t>TCC13 v1.1</t>
  </si>
  <si>
    <t>The Concrete Centre</t>
  </si>
  <si>
    <t>v3 release. Page nos, User Guide and registration details amended.</t>
  </si>
  <si>
    <t>100ρL % =</t>
  </si>
  <si>
    <t>C + a</t>
  </si>
  <si>
    <t>See Fig 6.22B</t>
  </si>
  <si>
    <t>Outer links at</t>
  </si>
  <si>
    <t xml:space="preserve">Data added for outer links. Β factor added to Uout required. </t>
  </si>
  <si>
    <t>Tangential spacing check improved for links within basic control perimeter.</t>
  </si>
  <si>
    <t>outside face by</t>
  </si>
  <si>
    <t>X spurs W =</t>
  </si>
  <si>
    <t>Y spurs N =</t>
  </si>
  <si>
    <t>X spurs E =</t>
  </si>
  <si>
    <t>Y spurs S =</t>
  </si>
  <si>
    <t>St,x W+E =</t>
  </si>
  <si>
    <t>St,y N+S =</t>
  </si>
  <si>
    <t>Solution 6.22(B) adjusted for full compliance with clause 9.4.3. Solution 6.22(B) geometry sketch added.</t>
  </si>
  <si>
    <t>Auto</t>
  </si>
  <si>
    <t>Required Ø =</t>
  </si>
  <si>
    <t>Radial only</t>
  </si>
  <si>
    <t>Automatic</t>
  </si>
  <si>
    <t>Spur layout</t>
  </si>
  <si>
    <t>TCC13 v3.3</t>
  </si>
  <si>
    <t>TCC13 v3.2</t>
  </si>
  <si>
    <t>TCC13 v3.1</t>
  </si>
  <si>
    <t>TCC13 v3.0</t>
  </si>
  <si>
    <t>Option button to overide link diameter added. Button to supress solution to Fig 6.22(B) added.</t>
  </si>
  <si>
    <t>Public release version</t>
  </si>
  <si>
    <t>Correction to spurs being shown outside concrete area on grapic for REENTRANT columns.</t>
  </si>
  <si>
    <t>TCC13 v3.6</t>
  </si>
  <si>
    <t>TCC13 v3.5</t>
  </si>
  <si>
    <t>TCC13 v3.4</t>
  </si>
  <si>
    <t>TCC13 v3.7</t>
  </si>
  <si>
    <t>Removal of possible innapropriate spacing failure when additional intermediate spurs added.</t>
  </si>
  <si>
    <t>TCC13 v3.8</t>
  </si>
  <si>
    <t>Correction to edge column face shear when hole on North face of column.</t>
  </si>
  <si>
    <t>TCC13 v3.9</t>
  </si>
  <si>
    <t>ß factors</t>
  </si>
  <si>
    <r>
      <t>U</t>
    </r>
    <r>
      <rPr>
        <vertAlign val="subscript"/>
        <sz val="12"/>
        <rFont val="Technical"/>
        <family val="4"/>
      </rPr>
      <t>1</t>
    </r>
    <r>
      <rPr>
        <sz val="12"/>
        <rFont val="Technical"/>
        <family val="4"/>
      </rPr>
      <t xml:space="preserve"> =</t>
    </r>
  </si>
  <si>
    <r>
      <t>W</t>
    </r>
    <r>
      <rPr>
        <vertAlign val="subscript"/>
        <sz val="12"/>
        <rFont val="Technical"/>
        <family val="4"/>
      </rPr>
      <t>1</t>
    </r>
    <r>
      <rPr>
        <sz val="12"/>
        <rFont val="Technical"/>
        <family val="4"/>
      </rPr>
      <t>y =</t>
    </r>
  </si>
  <si>
    <r>
      <t>W</t>
    </r>
    <r>
      <rPr>
        <vertAlign val="subscript"/>
        <sz val="12"/>
        <rFont val="Technical"/>
        <family val="4"/>
      </rPr>
      <t>1</t>
    </r>
    <r>
      <rPr>
        <sz val="12"/>
        <rFont val="Technical"/>
        <family val="4"/>
      </rPr>
      <t>z =</t>
    </r>
  </si>
  <si>
    <t>kNm</t>
  </si>
  <si>
    <t>ß =</t>
  </si>
  <si>
    <t>USE 6.4.3(6) ß FACTORS</t>
  </si>
  <si>
    <t>CALCULATE ß</t>
  </si>
  <si>
    <t>ßy =</t>
  </si>
  <si>
    <t>ßz =</t>
  </si>
  <si>
    <t>Kz =</t>
  </si>
  <si>
    <t>Ky =</t>
  </si>
  <si>
    <r>
      <t>C</t>
    </r>
    <r>
      <rPr>
        <vertAlign val="subscript"/>
        <sz val="12"/>
        <rFont val="Technical"/>
        <family val="4"/>
      </rPr>
      <t>1</t>
    </r>
    <r>
      <rPr>
        <sz val="12"/>
        <rFont val="Technical"/>
        <family val="4"/>
      </rPr>
      <t>/C</t>
    </r>
    <r>
      <rPr>
        <vertAlign val="subscript"/>
        <sz val="12"/>
        <rFont val="Technical"/>
        <family val="4"/>
      </rPr>
      <t>2</t>
    </r>
    <r>
      <rPr>
        <sz val="12"/>
        <rFont val="Technical"/>
        <family val="4"/>
      </rPr>
      <t xml:space="preserve"> =</t>
    </r>
  </si>
  <si>
    <t>combined ß =</t>
  </si>
  <si>
    <t>Mty =</t>
  </si>
  <si>
    <t>Mtz =</t>
  </si>
  <si>
    <r>
      <t>f</t>
    </r>
    <r>
      <rPr>
        <vertAlign val="subscript"/>
        <sz val="12"/>
        <rFont val="Tekton"/>
        <family val="2"/>
      </rPr>
      <t>ck</t>
    </r>
  </si>
  <si>
    <r>
      <t>f</t>
    </r>
    <r>
      <rPr>
        <vertAlign val="subscript"/>
        <sz val="12"/>
        <rFont val="Tekton"/>
        <family val="2"/>
      </rPr>
      <t>yk</t>
    </r>
  </si>
  <si>
    <r>
      <t>U</t>
    </r>
    <r>
      <rPr>
        <vertAlign val="subscript"/>
        <sz val="12"/>
        <rFont val="Technical"/>
        <family val="4"/>
      </rPr>
      <t>1</t>
    </r>
    <r>
      <rPr>
        <sz val="12"/>
        <rFont val="Technical"/>
        <family val="4"/>
      </rPr>
      <t>*</t>
    </r>
    <r>
      <rPr>
        <sz val="12"/>
        <rFont val="Technical"/>
        <family val="4"/>
      </rPr>
      <t xml:space="preserve"> =</t>
    </r>
  </si>
  <si>
    <r>
      <t>U</t>
    </r>
    <r>
      <rPr>
        <vertAlign val="subscript"/>
        <sz val="12"/>
        <rFont val="Technical"/>
        <family val="4"/>
      </rPr>
      <t>β</t>
    </r>
    <r>
      <rPr>
        <sz val="12"/>
        <rFont val="Technical"/>
        <family val="4"/>
      </rPr>
      <t xml:space="preserve"> =</t>
    </r>
  </si>
  <si>
    <r>
      <t>U</t>
    </r>
    <r>
      <rPr>
        <vertAlign val="subscript"/>
        <sz val="12"/>
        <rFont val="Technical"/>
        <family val="4"/>
      </rPr>
      <t>β</t>
    </r>
    <r>
      <rPr>
        <sz val="12"/>
        <rFont val="Technical"/>
        <family val="4"/>
      </rPr>
      <t>/U</t>
    </r>
    <r>
      <rPr>
        <vertAlign val="subscript"/>
        <sz val="12"/>
        <rFont val="Technical"/>
        <family val="4"/>
      </rPr>
      <t>1</t>
    </r>
    <r>
      <rPr>
        <sz val="12"/>
        <rFont val="Technical"/>
        <family val="4"/>
      </rPr>
      <t>*</t>
    </r>
    <r>
      <rPr>
        <sz val="12"/>
        <rFont val="Technical"/>
        <family val="4"/>
      </rPr>
      <t xml:space="preserve"> =</t>
    </r>
  </si>
  <si>
    <r>
      <t>C</t>
    </r>
    <r>
      <rPr>
        <vertAlign val="subscript"/>
        <sz val="12"/>
        <rFont val="Technical"/>
        <family val="4"/>
      </rPr>
      <t>1</t>
    </r>
    <r>
      <rPr>
        <sz val="12"/>
        <rFont val="Technical"/>
        <family val="4"/>
      </rPr>
      <t>/2/C</t>
    </r>
    <r>
      <rPr>
        <vertAlign val="subscript"/>
        <sz val="12"/>
        <rFont val="Technical"/>
        <family val="4"/>
      </rPr>
      <t>2</t>
    </r>
    <r>
      <rPr>
        <sz val="12"/>
        <rFont val="Technical"/>
        <family val="4"/>
      </rPr>
      <t xml:space="preserve"> =</t>
    </r>
  </si>
  <si>
    <r>
      <t>W</t>
    </r>
    <r>
      <rPr>
        <vertAlign val="subscript"/>
        <sz val="12"/>
        <rFont val="Technical"/>
        <family val="4"/>
      </rPr>
      <t>1</t>
    </r>
    <r>
      <rPr>
        <sz val="12"/>
        <rFont val="Technical"/>
        <family val="4"/>
      </rPr>
      <t xml:space="preserve"> =</t>
    </r>
  </si>
  <si>
    <t>standard</t>
  </si>
  <si>
    <t>full perimeter</t>
  </si>
  <si>
    <t>choose ß =</t>
  </si>
  <si>
    <t>to expression (6.46)</t>
  </si>
  <si>
    <t>A+C</t>
  </si>
  <si>
    <t>top curve</t>
  </si>
  <si>
    <t>btm curves</t>
  </si>
  <si>
    <t>B+D</t>
  </si>
  <si>
    <t>right curves</t>
  </si>
  <si>
    <t>left curve</t>
  </si>
  <si>
    <r>
      <t>W</t>
    </r>
    <r>
      <rPr>
        <i/>
        <vertAlign val="subscript"/>
        <sz val="12"/>
        <color indexed="62"/>
        <rFont val="Trebuchet MS"/>
        <family val="2"/>
      </rPr>
      <t>1</t>
    </r>
    <r>
      <rPr>
        <sz val="12"/>
        <color indexed="62"/>
        <rFont val="Trebuchet MS"/>
        <family val="2"/>
      </rPr>
      <t xml:space="preserve"> North of c/l</t>
    </r>
  </si>
  <si>
    <r>
      <t>W</t>
    </r>
    <r>
      <rPr>
        <i/>
        <vertAlign val="subscript"/>
        <sz val="12"/>
        <color indexed="62"/>
        <rFont val="Trebuchet MS"/>
        <family val="2"/>
      </rPr>
      <t>1</t>
    </r>
    <r>
      <rPr>
        <sz val="12"/>
        <color indexed="62"/>
        <rFont val="Trebuchet MS"/>
        <family val="2"/>
      </rPr>
      <t xml:space="preserve"> South of c/l</t>
    </r>
  </si>
  <si>
    <r>
      <t>W</t>
    </r>
    <r>
      <rPr>
        <i/>
        <vertAlign val="subscript"/>
        <sz val="12"/>
        <color indexed="62"/>
        <rFont val="Trebuchet MS"/>
        <family val="2"/>
      </rPr>
      <t>1</t>
    </r>
    <r>
      <rPr>
        <sz val="12"/>
        <color indexed="62"/>
        <rFont val="Trebuchet MS"/>
        <family val="2"/>
      </rPr>
      <t xml:space="preserve"> West of c/l</t>
    </r>
  </si>
  <si>
    <r>
      <t>W</t>
    </r>
    <r>
      <rPr>
        <i/>
        <vertAlign val="subscript"/>
        <sz val="12"/>
        <color indexed="62"/>
        <rFont val="Trebuchet MS"/>
        <family val="2"/>
      </rPr>
      <t>1</t>
    </r>
    <r>
      <rPr>
        <sz val="12"/>
        <color indexed="62"/>
        <rFont val="Trebuchet MS"/>
        <family val="2"/>
      </rPr>
      <t xml:space="preserve"> East of c/l</t>
    </r>
  </si>
  <si>
    <r>
      <t>C</t>
    </r>
    <r>
      <rPr>
        <vertAlign val="subscript"/>
        <sz val="12"/>
        <rFont val="Technical"/>
        <family val="4"/>
      </rPr>
      <t>1</t>
    </r>
    <r>
      <rPr>
        <sz val="12"/>
        <rFont val="Technical"/>
        <family val="4"/>
      </rPr>
      <t>/2C</t>
    </r>
    <r>
      <rPr>
        <vertAlign val="subscript"/>
        <sz val="12"/>
        <rFont val="Technical"/>
        <family val="4"/>
      </rPr>
      <t>2</t>
    </r>
    <r>
      <rPr>
        <sz val="12"/>
        <rFont val="Technical"/>
        <family val="4"/>
      </rPr>
      <t xml:space="preserve"> =</t>
    </r>
  </si>
  <si>
    <t>Ky+ =</t>
  </si>
  <si>
    <t>Kz+ =</t>
  </si>
  <si>
    <r>
      <t>e</t>
    </r>
    <r>
      <rPr>
        <vertAlign val="subscript"/>
        <sz val="12"/>
        <rFont val="Technical"/>
        <family val="4"/>
      </rPr>
      <t>par</t>
    </r>
    <r>
      <rPr>
        <sz val="12"/>
        <rFont val="Technical"/>
        <family val="4"/>
      </rPr>
      <t xml:space="preserve"> =</t>
    </r>
  </si>
  <si>
    <t>maximum ß =</t>
  </si>
  <si>
    <t>to expressions (6.39) &amp; (6.44)</t>
  </si>
  <si>
    <t>6.4.5 (3)</t>
  </si>
  <si>
    <t>maximum punching stress</t>
  </si>
  <si>
    <t>New routine for hole reductions at column faces.</t>
  </si>
  <si>
    <t>TCC13 v3.10</t>
  </si>
  <si>
    <t>TCC13 v4.0</t>
  </si>
  <si>
    <r>
      <t>v</t>
    </r>
    <r>
      <rPr>
        <vertAlign val="subscript"/>
        <sz val="12"/>
        <rFont val="Tekton"/>
        <family val="2"/>
      </rPr>
      <t>Rd,c</t>
    </r>
    <r>
      <rPr>
        <sz val="12"/>
        <rFont val="Tekton"/>
        <family val="2"/>
      </rPr>
      <t xml:space="preserve"> =</t>
    </r>
  </si>
  <si>
    <r>
      <t>At 2d perimeter, v</t>
    </r>
    <r>
      <rPr>
        <vertAlign val="subscript"/>
        <sz val="12"/>
        <rFont val="Tekton"/>
        <family val="2"/>
      </rPr>
      <t>Ed,red</t>
    </r>
    <r>
      <rPr>
        <sz val="12"/>
        <rFont val="Tekton"/>
        <family val="2"/>
      </rPr>
      <t xml:space="preserve"> =</t>
    </r>
  </si>
  <si>
    <t>Calculation of beta factors added. Updated to revised NA.</t>
  </si>
  <si>
    <r>
      <t xml:space="preserve">Revision history </t>
    </r>
    <r>
      <rPr>
        <b/>
        <i/>
        <sz val="12"/>
        <color indexed="62"/>
        <rFont val="Arial Narrow"/>
        <family val="2"/>
      </rPr>
      <t xml:space="preserve"> </t>
    </r>
    <r>
      <rPr>
        <b/>
        <i/>
        <sz val="12"/>
        <color indexed="60"/>
        <rFont val="Arial Narrow"/>
        <family val="2"/>
      </rPr>
      <t>TCC13 Slab Punching</t>
    </r>
  </si>
  <si>
    <r>
      <t>Minor correction to U</t>
    </r>
    <r>
      <rPr>
        <vertAlign val="subscript"/>
        <sz val="11"/>
        <rFont val="Arial Narrow"/>
        <family val="2"/>
      </rPr>
      <t>0</t>
    </r>
    <r>
      <rPr>
        <sz val="11"/>
        <rFont val="Arial Narrow"/>
        <family val="2"/>
      </rPr>
      <t xml:space="preserve"> for edge and corner columns.</t>
    </r>
  </si>
  <si>
    <r>
      <t>Differentiation  between flexure and shear for α</t>
    </r>
    <r>
      <rPr>
        <vertAlign val="subscript"/>
        <sz val="11"/>
        <rFont val="Arial Narrow"/>
        <family val="2"/>
      </rPr>
      <t>cc</t>
    </r>
    <r>
      <rPr>
        <sz val="11"/>
        <rFont val="Arial Narrow"/>
        <family val="2"/>
      </rPr>
      <t>.</t>
    </r>
  </si>
  <si>
    <r>
      <t>UK NA maximum f</t>
    </r>
    <r>
      <rPr>
        <vertAlign val="subscript"/>
        <sz val="11"/>
        <rFont val="Arial Narrow"/>
        <family val="2"/>
      </rPr>
      <t>ck</t>
    </r>
    <r>
      <rPr>
        <sz val="11"/>
        <rFont val="Arial Narrow"/>
        <family val="2"/>
      </rPr>
      <t xml:space="preserve"> for shear added. RE-BADGED</t>
    </r>
  </si>
  <si>
    <t>All advice or information from MPA-The Concrete Centre is intended for those who will evaluate the significance and limitations of its contents and take responsibility for its use and application. No liability (including that for negligence) for any loss resulting from such advice or information is accepted by MPA-The Concrete Centre or its subcontractors, suppliers or advisors. Users should note that all MPA-The Concrete Centre software and publications are subject to revision from time to time and they should therefore ensure that they are in possession of the latest version.
This spreadsheet should be used in compliance with the accompanying publication 'User Guide RC Spreadsheets: v4' available from The Concrete Centre www.concretecentre.com/rcdesign Tel +44 (0)1276 606800</t>
  </si>
  <si>
    <t xml:space="preserve">This spreadsheet is shareware but may not be used for commercial purposes until the user has registered with The Concrete Centre using the licence validation form available on The Concrete Centre website www.concretecentre.com/rcdesign
</t>
  </si>
  <si>
    <t>dz</t>
  </si>
  <si>
    <t>Asz</t>
  </si>
  <si>
    <t>TCC13 v4.1</t>
  </si>
  <si>
    <r>
      <t>Correction to ß calculation for internal columns with both z and y moments. A</t>
    </r>
    <r>
      <rPr>
        <vertAlign val="subscript"/>
        <sz val="11"/>
        <rFont val="Arial Narrow"/>
        <family val="2"/>
      </rPr>
      <t>sx</t>
    </r>
    <r>
      <rPr>
        <sz val="11"/>
        <rFont val="Arial Narrow"/>
        <family val="2"/>
      </rPr>
      <t xml:space="preserve"> changed to A</t>
    </r>
    <r>
      <rPr>
        <vertAlign val="subscript"/>
        <sz val="11"/>
        <rFont val="Arial Narrow"/>
        <family val="2"/>
      </rPr>
      <t>sz</t>
    </r>
    <r>
      <rPr>
        <sz val="11"/>
        <rFont val="Arial Narrow"/>
        <family val="2"/>
      </rPr>
      <t xml:space="preserve"> and d</t>
    </r>
    <r>
      <rPr>
        <vertAlign val="subscript"/>
        <sz val="11"/>
        <rFont val="Arial Narrow"/>
        <family val="2"/>
      </rPr>
      <t>x</t>
    </r>
    <r>
      <rPr>
        <sz val="11"/>
        <rFont val="Arial Narrow"/>
        <family val="2"/>
      </rPr>
      <t xml:space="preserve"> changed to d</t>
    </r>
    <r>
      <rPr>
        <vertAlign val="subscript"/>
        <sz val="11"/>
        <rFont val="Arial Narrow"/>
        <family val="2"/>
      </rPr>
      <t>z</t>
    </r>
    <r>
      <rPr>
        <sz val="11"/>
        <rFont val="Arial Narrow"/>
        <family val="2"/>
      </rPr>
      <t>.</t>
    </r>
  </si>
  <si>
    <t>TCC13 v4.2</t>
  </si>
  <si>
    <r>
      <t>Correction to U</t>
    </r>
    <r>
      <rPr>
        <vertAlign val="subscript"/>
        <sz val="11"/>
        <rFont val="Arial Narrow"/>
        <family val="2"/>
      </rPr>
      <t>out</t>
    </r>
    <r>
      <rPr>
        <sz val="11"/>
        <rFont val="Arial Narrow"/>
        <family val="2"/>
      </rPr>
      <t xml:space="preserve"> required on REENTRANT page.</t>
    </r>
  </si>
  <si>
    <t>TCC13 v4.3</t>
  </si>
  <si>
    <t>Warning added when column side &gt; 3d.</t>
  </si>
  <si>
    <t>TCC13 v4.4</t>
  </si>
  <si>
    <t>Correction of graphics bugs on INTERNAL and REENTRANT.</t>
  </si>
  <si>
    <t>TCC13 v4.5</t>
  </si>
  <si>
    <r>
      <t>β factor removed from calculation of V</t>
    </r>
    <r>
      <rPr>
        <vertAlign val="subscript"/>
        <sz val="11"/>
        <rFont val="Arial Narrow"/>
        <family val="2"/>
      </rPr>
      <t>Ed,max</t>
    </r>
    <r>
      <rPr>
        <sz val="11"/>
        <rFont val="Arial Narrow"/>
        <family val="2"/>
      </rPr>
      <t xml:space="preserve"> on EDGE.</t>
    </r>
  </si>
  <si>
    <t>1.38MB</t>
  </si>
  <si>
    <r>
      <t>Size</t>
    </r>
    <r>
      <rPr>
        <sz val="14"/>
        <color indexed="62"/>
        <rFont val="Arial Narrow"/>
        <family val="2"/>
      </rPr>
      <t/>
    </r>
  </si>
  <si>
    <t>TCC13 v4.6</t>
  </si>
  <si>
    <t xml:space="preserve">Warning added for column apect ratios &gt; 4. </t>
  </si>
  <si>
    <r>
      <t xml:space="preserve">Link diameter                   </t>
    </r>
    <r>
      <rPr>
        <i/>
        <sz val="12"/>
        <rFont val="Trebuchet MS"/>
        <family val="2"/>
      </rPr>
      <t xml:space="preserve"> on all pages</t>
    </r>
  </si>
  <si>
    <t>TCC13 v4.7</t>
  </si>
  <si>
    <t>Change to method of applying β factor on EDGE and CORNER.  Display of warning messages improved.</t>
  </si>
  <si>
    <r>
      <t xml:space="preserve">Originated from </t>
    </r>
    <r>
      <rPr>
        <sz val="7"/>
        <color indexed="16"/>
        <rFont val="Trebuchet MS"/>
        <family val="2"/>
      </rPr>
      <t>TCC13.xlsm</t>
    </r>
  </si>
  <si>
    <r>
      <t>M</t>
    </r>
    <r>
      <rPr>
        <i/>
        <vertAlign val="subscript"/>
        <sz val="12"/>
        <color indexed="21"/>
        <rFont val="Trebuchet MS"/>
        <family val="2"/>
      </rPr>
      <t>ty</t>
    </r>
    <r>
      <rPr>
        <i/>
        <sz val="12"/>
        <color indexed="21"/>
        <rFont val="Trebuchet MS"/>
        <family val="2"/>
      </rPr>
      <t xml:space="preserve"> and M</t>
    </r>
    <r>
      <rPr>
        <i/>
        <vertAlign val="subscript"/>
        <sz val="12"/>
        <color indexed="21"/>
        <rFont val="Trebuchet MS"/>
        <family val="2"/>
      </rPr>
      <t>tz</t>
    </r>
    <r>
      <rPr>
        <i/>
        <sz val="12"/>
        <color indexed="21"/>
        <rFont val="Trebuchet MS"/>
        <family val="2"/>
      </rPr>
      <t xml:space="preserve"> are moments transferred to the column under the same loading arrangement that produces V</t>
    </r>
    <r>
      <rPr>
        <i/>
        <vertAlign val="subscript"/>
        <sz val="12"/>
        <color indexed="21"/>
        <rFont val="Trebuchet MS"/>
        <family val="2"/>
      </rPr>
      <t>Ed</t>
    </r>
    <r>
      <rPr>
        <i/>
        <sz val="12"/>
        <color indexed="21"/>
        <rFont val="Trebuchet MS"/>
        <family val="2"/>
      </rPr>
      <t>.</t>
    </r>
  </si>
  <si>
    <r>
      <t>M</t>
    </r>
    <r>
      <rPr>
        <i/>
        <vertAlign val="subscript"/>
        <sz val="12"/>
        <color indexed="21"/>
        <rFont val="Trebuchet MS"/>
        <family val="2"/>
      </rPr>
      <t>tz</t>
    </r>
    <r>
      <rPr>
        <i/>
        <sz val="12"/>
        <color indexed="21"/>
        <rFont val="Trebuchet MS"/>
        <family val="2"/>
      </rPr>
      <t xml:space="preserve"> is the moment about the Z axis that is transferred to the column under the same loading arrangement that produces V</t>
    </r>
    <r>
      <rPr>
        <i/>
        <vertAlign val="subscript"/>
        <sz val="12"/>
        <color indexed="21"/>
        <rFont val="Trebuchet MS"/>
        <family val="2"/>
      </rPr>
      <t>Ed</t>
    </r>
    <r>
      <rPr>
        <i/>
        <sz val="12"/>
        <color indexed="21"/>
        <rFont val="Trebuchet MS"/>
        <family val="2"/>
      </rPr>
      <t>.</t>
    </r>
  </si>
  <si>
    <t>TCC13 v4.8</t>
  </si>
  <si>
    <r>
      <t>V</t>
    </r>
    <r>
      <rPr>
        <vertAlign val="subscript"/>
        <sz val="11"/>
        <rFont val="Arial Narrow"/>
        <family val="2"/>
      </rPr>
      <t>Ed,max</t>
    </r>
    <r>
      <rPr>
        <sz val="11"/>
        <rFont val="Arial Narrow"/>
        <family val="2"/>
      </rPr>
      <t xml:space="preserve"> corrected to 0.5νf</t>
    </r>
    <r>
      <rPr>
        <vertAlign val="subscript"/>
        <sz val="11"/>
        <rFont val="Arial Narrow"/>
        <family val="2"/>
      </rPr>
      <t>cd</t>
    </r>
  </si>
  <si>
    <t>If column size has been reduced from a value &gt; 4d, perimeter reductions for holes may be conservative &amp; number of spurs may need to be increased.</t>
  </si>
  <si>
    <t>Show note?</t>
  </si>
  <si>
    <t>"Not a column" message changed to "This is a wall" and moved to printed pages. Suggestions added for use with column sizes &gt; 4d.</t>
  </si>
  <si>
    <t>TCC13 v4.9</t>
  </si>
  <si>
    <t>On EDGE, number of spurs corrected when additional links required at rear edge.</t>
  </si>
  <si>
    <t>Additional spurs may be required between column and edge.</t>
  </si>
  <si>
    <t>TCC13 v4.10</t>
  </si>
  <si>
    <t>On REENTRANT, input invalidated when column size &gt; 4d.</t>
  </si>
  <si>
    <t>NS</t>
  </si>
  <si>
    <t>Blockout</t>
  </si>
  <si>
    <t>Actual</t>
  </si>
  <si>
    <t>Graphic</t>
  </si>
  <si>
    <t>Slope</t>
  </si>
  <si>
    <t>(B+2a)/A</t>
  </si>
  <si>
    <t>(A+2a)/B</t>
  </si>
  <si>
    <t>Slope at perimeter corners</t>
  </si>
  <si>
    <t>min</t>
  </si>
  <si>
    <t>max</t>
  </si>
  <si>
    <t>E &gt; 0?</t>
  </si>
  <si>
    <t>E &lt; -H?</t>
  </si>
  <si>
    <t>choose</t>
  </si>
  <si>
    <t>TCC13 v4.11</t>
  </si>
  <si>
    <t>Hole guidelines added to graphics. Perimeter reductions for holes reconfigured on REENTRANT.</t>
  </si>
  <si>
    <t>A/(B+2a)</t>
  </si>
  <si>
    <t>B/(A+2a)</t>
  </si>
  <si>
    <t>TCC13 v4.12</t>
  </si>
  <si>
    <t>Correction to way in which 1.5d maximum side distance applied on EDGE.</t>
  </si>
  <si>
    <t>TCC13 v4.13</t>
  </si>
  <si>
    <t>On EDGE, incorrect failure removed when no hole.</t>
  </si>
  <si>
    <r>
      <rPr>
        <i/>
        <sz val="12"/>
        <rFont val="Tekton"/>
        <family val="2"/>
      </rPr>
      <t>U</t>
    </r>
    <r>
      <rPr>
        <vertAlign val="subscript"/>
        <sz val="12"/>
        <rFont val="Technical"/>
        <family val="4"/>
      </rPr>
      <t>out</t>
    </r>
  </si>
  <si>
    <r>
      <t xml:space="preserve">Final </t>
    </r>
    <r>
      <rPr>
        <b/>
        <i/>
        <sz val="12"/>
        <color indexed="62"/>
        <rFont val="Trebuchet MS"/>
        <family val="2"/>
      </rPr>
      <t>U</t>
    </r>
  </si>
  <si>
    <r>
      <rPr>
        <b/>
        <i/>
        <sz val="12"/>
        <color indexed="62"/>
        <rFont val="Arial Narrow"/>
        <family val="2"/>
      </rPr>
      <t>β</t>
    </r>
    <r>
      <rPr>
        <b/>
        <i/>
        <sz val="12"/>
        <color indexed="62"/>
        <rFont val="Trebuchet MS"/>
        <family val="2"/>
      </rPr>
      <t>V</t>
    </r>
    <r>
      <rPr>
        <b/>
        <sz val="12"/>
        <color indexed="62"/>
        <rFont val="Trebuchet MS"/>
        <family val="2"/>
      </rPr>
      <t>Ed</t>
    </r>
  </si>
  <si>
    <t>TCC13 v4.14</t>
  </si>
  <si>
    <r>
      <t xml:space="preserve">Choose </t>
    </r>
    <r>
      <rPr>
        <b/>
        <i/>
        <sz val="10"/>
        <color indexed="62"/>
        <rFont val="Trebuchet MS"/>
        <family val="2"/>
      </rPr>
      <t>μ</t>
    </r>
    <r>
      <rPr>
        <b/>
        <vertAlign val="subscript"/>
        <sz val="10"/>
        <color indexed="62"/>
        <rFont val="Trebuchet MS"/>
        <family val="2"/>
      </rPr>
      <t>1</t>
    </r>
  </si>
  <si>
    <r>
      <t>kN/m</t>
    </r>
    <r>
      <rPr>
        <sz val="11"/>
        <color theme="1"/>
        <rFont val="Arial Narrow"/>
        <family val="2"/>
      </rPr>
      <t/>
    </r>
  </si>
  <si>
    <t>ult edge load</t>
  </si>
  <si>
    <r>
      <rPr>
        <i/>
        <sz val="12"/>
        <rFont val="Tekton"/>
        <family val="2"/>
      </rPr>
      <t>U</t>
    </r>
    <r>
      <rPr>
        <vertAlign val="subscript"/>
        <sz val="12"/>
        <rFont val="Tekton"/>
        <family val="2"/>
      </rPr>
      <t>out</t>
    </r>
    <r>
      <rPr>
        <sz val="12"/>
        <rFont val="Tekton"/>
        <family val="2"/>
      </rPr>
      <t xml:space="preserve"> required =</t>
    </r>
  </si>
  <si>
    <r>
      <rPr>
        <i/>
        <sz val="12"/>
        <rFont val="Tekton"/>
        <family val="2"/>
      </rPr>
      <t>βV</t>
    </r>
    <r>
      <rPr>
        <vertAlign val="subscript"/>
        <sz val="12"/>
        <rFont val="Tekton"/>
        <family val="2"/>
      </rPr>
      <t>Ed</t>
    </r>
    <r>
      <rPr>
        <sz val="12"/>
        <rFont val="Tekton"/>
        <family val="2"/>
      </rPr>
      <t xml:space="preserve"> =</t>
    </r>
  </si>
  <si>
    <r>
      <t xml:space="preserve">USE 6.4.3(6) </t>
    </r>
    <r>
      <rPr>
        <i/>
        <sz val="12"/>
        <rFont val="Tekton"/>
        <family val="2"/>
      </rPr>
      <t>ß</t>
    </r>
    <r>
      <rPr>
        <sz val="12"/>
        <rFont val="Tekton"/>
        <family val="2"/>
      </rPr>
      <t xml:space="preserve"> FACTORS</t>
    </r>
  </si>
  <si>
    <r>
      <t xml:space="preserve">CALCULATE </t>
    </r>
    <r>
      <rPr>
        <i/>
        <sz val="12"/>
        <rFont val="Tekton"/>
        <family val="2"/>
      </rPr>
      <t>ß</t>
    </r>
  </si>
  <si>
    <r>
      <t xml:space="preserve">Iteration to find </t>
    </r>
    <r>
      <rPr>
        <i/>
        <sz val="12"/>
        <rFont val="Technical"/>
        <family val="4"/>
      </rPr>
      <t>U</t>
    </r>
    <r>
      <rPr>
        <vertAlign val="subscript"/>
        <sz val="12"/>
        <rFont val="Technical"/>
        <family val="4"/>
      </rPr>
      <t>out</t>
    </r>
  </si>
  <si>
    <t>RC density</t>
  </si>
  <si>
    <r>
      <t>kN/m</t>
    </r>
    <r>
      <rPr>
        <vertAlign val="superscript"/>
        <sz val="10"/>
        <rFont val="Tekton"/>
        <family val="2"/>
      </rPr>
      <t>3</t>
    </r>
    <r>
      <rPr>
        <sz val="11"/>
        <color theme="1"/>
        <rFont val="Arial Narrow"/>
        <family val="2"/>
      </rPr>
      <t/>
    </r>
  </si>
  <si>
    <r>
      <rPr>
        <sz val="12"/>
        <rFont val="Arial Narrow"/>
        <family val="2"/>
      </rPr>
      <t>η</t>
    </r>
    <r>
      <rPr>
        <vertAlign val="subscript"/>
        <sz val="12"/>
        <rFont val="Trebuchet MS"/>
        <family val="2"/>
      </rPr>
      <t>l</t>
    </r>
  </si>
  <si>
    <t>11.3.1(3)</t>
  </si>
  <si>
    <r>
      <t>f</t>
    </r>
    <r>
      <rPr>
        <vertAlign val="subscript"/>
        <sz val="12"/>
        <rFont val="Tekton"/>
        <family val="2"/>
      </rPr>
      <t>ct</t>
    </r>
    <r>
      <rPr>
        <i/>
        <sz val="12"/>
        <rFont val="Tekton"/>
        <family val="2"/>
      </rPr>
      <t xml:space="preserve"> modifier for LW concrete</t>
    </r>
  </si>
  <si>
    <r>
      <t>x k</t>
    </r>
    <r>
      <rPr>
        <i/>
        <vertAlign val="superscript"/>
        <sz val="12"/>
        <rFont val="Tekton"/>
        <family val="2"/>
      </rPr>
      <t>3/2</t>
    </r>
    <r>
      <rPr>
        <i/>
        <sz val="12"/>
        <rFont val="Tekton"/>
        <family val="2"/>
      </rPr>
      <t>f</t>
    </r>
    <r>
      <rPr>
        <vertAlign val="subscript"/>
        <sz val="12"/>
        <rFont val="Tekton"/>
        <family val="2"/>
      </rPr>
      <t>ck</t>
    </r>
    <r>
      <rPr>
        <i/>
        <vertAlign val="superscript"/>
        <sz val="12"/>
        <rFont val="Tekton"/>
        <family val="2"/>
      </rPr>
      <t>1/2</t>
    </r>
  </si>
  <si>
    <r>
      <t>Limit to f</t>
    </r>
    <r>
      <rPr>
        <vertAlign val="subscript"/>
        <sz val="12"/>
        <rFont val="Tekton"/>
        <family val="2"/>
      </rPr>
      <t>ck</t>
    </r>
    <r>
      <rPr>
        <i/>
        <sz val="12"/>
        <rFont val="Tekton"/>
        <family val="2"/>
      </rPr>
      <t xml:space="preserve"> for shear strength</t>
    </r>
  </si>
  <si>
    <r>
      <t>f</t>
    </r>
    <r>
      <rPr>
        <vertAlign val="subscript"/>
        <sz val="13"/>
        <rFont val="Tekton"/>
        <family val="2"/>
      </rPr>
      <t xml:space="preserve">Lck </t>
    </r>
    <r>
      <rPr>
        <sz val="13"/>
        <rFont val="Tekton"/>
        <family val="2"/>
      </rPr>
      <t>=</t>
    </r>
  </si>
  <si>
    <r>
      <t>UD and edge loads deducted from area 2</t>
    </r>
    <r>
      <rPr>
        <i/>
        <sz val="11"/>
        <rFont val="Arial Narrow"/>
        <family val="2"/>
      </rPr>
      <t>d</t>
    </r>
    <r>
      <rPr>
        <sz val="11"/>
        <rFont val="Arial Narrow"/>
        <family val="2"/>
      </rPr>
      <t xml:space="preserve"> within </t>
    </r>
    <r>
      <rPr>
        <i/>
        <sz val="11"/>
        <rFont val="Arial Narrow"/>
        <family val="2"/>
      </rPr>
      <t>U</t>
    </r>
    <r>
      <rPr>
        <vertAlign val="subscript"/>
        <sz val="11"/>
        <rFont val="Arial Narrow"/>
        <family val="2"/>
      </rPr>
      <t>out</t>
    </r>
    <r>
      <rPr>
        <sz val="11"/>
        <rFont val="Arial Narrow"/>
        <family val="2"/>
      </rPr>
      <t xml:space="preserve"> </t>
    </r>
    <r>
      <rPr>
        <i/>
        <sz val="11"/>
        <rFont val="Arial Narrow"/>
        <family val="2"/>
      </rPr>
      <t>(loaded area</t>
    </r>
    <r>
      <rPr>
        <sz val="11"/>
        <rFont val="Arial Narrow"/>
        <family val="2"/>
      </rPr>
      <t>). Use of lightweight aggregate concrete added.</t>
    </r>
  </si>
  <si>
    <r>
      <t>γ</t>
    </r>
    <r>
      <rPr>
        <vertAlign val="subscript"/>
        <sz val="12"/>
        <rFont val="Tekton"/>
        <family val="2"/>
      </rPr>
      <t>RC</t>
    </r>
    <r>
      <rPr>
        <sz val="12"/>
        <rFont val="Tekton"/>
        <family val="2"/>
      </rPr>
      <t xml:space="preserve"> =</t>
    </r>
  </si>
  <si>
    <t>TCC13 v4.15</t>
  </si>
  <si>
    <t>Circular reference removed on EDGE page.</t>
  </si>
  <si>
    <r>
      <t>k</t>
    </r>
    <r>
      <rPr>
        <vertAlign val="subscript"/>
        <sz val="12"/>
        <rFont val="Trebuchet MS"/>
        <family val="2"/>
      </rPr>
      <t>max</t>
    </r>
    <r>
      <rPr>
        <sz val="12"/>
        <rFont val="Trebuchet MS"/>
        <family val="2"/>
      </rPr>
      <t xml:space="preserve"> = V</t>
    </r>
    <r>
      <rPr>
        <vertAlign val="subscript"/>
        <sz val="12"/>
        <rFont val="Trebuchet MS"/>
        <family val="2"/>
      </rPr>
      <t>Ed</t>
    </r>
    <r>
      <rPr>
        <sz val="12"/>
        <rFont val="Trebuchet MS"/>
        <family val="2"/>
      </rPr>
      <t>/V</t>
    </r>
    <r>
      <rPr>
        <vertAlign val="subscript"/>
        <sz val="12"/>
        <rFont val="Trebuchet MS"/>
        <family val="2"/>
      </rPr>
      <t>Rdc</t>
    </r>
  </si>
  <si>
    <t>6.4.5 (1)</t>
  </si>
  <si>
    <r>
      <t>v</t>
    </r>
    <r>
      <rPr>
        <vertAlign val="subscript"/>
        <sz val="12"/>
        <rFont val="Trebuchet MS"/>
        <family val="2"/>
      </rPr>
      <t>Rd,max</t>
    </r>
  </si>
  <si>
    <r>
      <t xml:space="preserve">x </t>
    </r>
    <r>
      <rPr>
        <sz val="12"/>
        <rFont val="Arial Narrow"/>
        <family val="2"/>
      </rPr>
      <t>ν·</t>
    </r>
    <r>
      <rPr>
        <i/>
        <sz val="12"/>
        <rFont val="Tekton"/>
        <family val="2"/>
      </rPr>
      <t>f</t>
    </r>
    <r>
      <rPr>
        <i/>
        <vertAlign val="subscript"/>
        <sz val="12"/>
        <rFont val="Tekton"/>
        <family val="2"/>
      </rPr>
      <t>cd</t>
    </r>
  </si>
  <si>
    <t>4.16</t>
  </si>
  <si>
    <t>TCC13 v4.16</t>
  </si>
  <si>
    <r>
      <t>NA value for</t>
    </r>
    <r>
      <rPr>
        <i/>
        <sz val="11"/>
        <rFont val="Arial Narrow"/>
        <family val="2"/>
      </rPr>
      <t xml:space="preserve"> k</t>
    </r>
    <r>
      <rPr>
        <vertAlign val="subscript"/>
        <sz val="11"/>
        <rFont val="Arial Narrow"/>
        <family val="2"/>
      </rPr>
      <t>max</t>
    </r>
    <r>
      <rPr>
        <sz val="11"/>
        <rFont val="Arial Narrow"/>
        <family val="2"/>
      </rPr>
      <t xml:space="preserve"> added on "Refs" page.</t>
    </r>
  </si>
  <si>
    <t>SM</t>
  </si>
  <si>
    <t>Milton Keynes</t>
  </si>
  <si>
    <t>AP</t>
  </si>
  <si>
    <t>Abbey Gate Developments</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</si>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</sst>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lt;36526]dd\-mmm\-yy;dd\-mmm\-yyyy"/>
    <numFmt numFmtId="166" formatCode="0.000"/>
    <numFmt numFmtId="167" formatCode="0.0"/>
    <numFmt numFmtId="168" formatCode="0.0%"/>
  </numFmts>
  <fonts count="150">
    <font>
      <sz val="12"/>
      <name val="Technical"/>
    </font>
    <font>
      <sz val="11"/>
      <color theme="1"/>
      <name val="Arial Narrow"/>
      <family val="2"/>
    </font>
    <font>
      <sz val="10"/>
      <name val="Arial"/>
      <family val="2"/>
    </font>
    <font>
      <sz val="12"/>
      <name val="Arial"/>
      <family val="2"/>
    </font>
    <font>
      <sz val="20"/>
      <name val="Arial"/>
      <family val="2"/>
    </font>
    <font>
      <sz val="12"/>
      <name val="Tekton"/>
      <family val="2"/>
    </font>
    <font>
      <sz val="14"/>
      <name val="Arial"/>
      <family val="2"/>
    </font>
    <font>
      <sz val="10"/>
      <name val="Tekton"/>
      <family val="2"/>
    </font>
    <font>
      <sz val="10"/>
      <color indexed="12"/>
      <name val="Arial"/>
      <family val="2"/>
    </font>
    <font>
      <sz val="8"/>
      <name val="Tekton"/>
      <family val="2"/>
    </font>
    <font>
      <sz val="11"/>
      <color indexed="18"/>
      <name val="Tekton"/>
      <family val="2"/>
    </font>
    <font>
      <sz val="12"/>
      <color indexed="12"/>
      <name val="Tekton"/>
      <family val="2"/>
    </font>
    <font>
      <vertAlign val="superscript"/>
      <sz val="10"/>
      <name val="Tekton"/>
      <family val="2"/>
    </font>
    <font>
      <u/>
      <sz val="12"/>
      <color indexed="12"/>
      <name val="Tekton"/>
      <family val="2"/>
    </font>
    <font>
      <sz val="14"/>
      <name val="Arial"/>
      <family val="2"/>
    </font>
    <font>
      <sz val="12"/>
      <color indexed="17"/>
      <name val="Marker"/>
      <family val="2"/>
    </font>
    <font>
      <b/>
      <sz val="12"/>
      <color indexed="60"/>
      <name val="Tekton"/>
      <family val="2"/>
    </font>
    <font>
      <b/>
      <sz val="12"/>
      <color indexed="10"/>
      <name val="Tekton"/>
      <family val="2"/>
    </font>
    <font>
      <sz val="12"/>
      <color indexed="10"/>
      <name val="Tekton"/>
      <family val="2"/>
    </font>
    <font>
      <b/>
      <sz val="12"/>
      <name val="Tekton"/>
      <family val="2"/>
    </font>
    <font>
      <sz val="12"/>
      <color indexed="60"/>
      <name val="Tekton"/>
      <family val="2"/>
    </font>
    <font>
      <b/>
      <sz val="12"/>
      <color indexed="16"/>
      <name val="Tekton"/>
      <family val="2"/>
    </font>
    <font>
      <sz val="7"/>
      <name val="Tekton"/>
      <family val="2"/>
    </font>
    <font>
      <sz val="12"/>
      <name val="Symbol"/>
      <family val="1"/>
      <charset val="2"/>
    </font>
    <font>
      <sz val="12"/>
      <color indexed="20"/>
      <name val="Marker"/>
      <family val="2"/>
    </font>
    <font>
      <vertAlign val="subscript"/>
      <sz val="12"/>
      <name val="Tekton"/>
      <family val="2"/>
    </font>
    <font>
      <sz val="11"/>
      <name val="Technical"/>
      <family val="4"/>
    </font>
    <font>
      <sz val="13"/>
      <name val="Symbol"/>
      <family val="1"/>
      <charset val="2"/>
    </font>
    <font>
      <b/>
      <sz val="12"/>
      <color indexed="62"/>
      <name val="Tekton"/>
      <family val="2"/>
    </font>
    <font>
      <sz val="12"/>
      <name val="Technical"/>
      <family val="4"/>
    </font>
    <font>
      <i/>
      <sz val="12"/>
      <color indexed="60"/>
      <name val="Tekton"/>
      <family val="2"/>
    </font>
    <font>
      <sz val="13"/>
      <name val="Tekton"/>
      <family val="2"/>
    </font>
    <font>
      <vertAlign val="subscript"/>
      <sz val="13"/>
      <name val="Tekton"/>
      <family val="2"/>
    </font>
    <font>
      <b/>
      <sz val="12"/>
      <color indexed="9"/>
      <name val="Tekton"/>
      <family val="2"/>
    </font>
    <font>
      <sz val="12"/>
      <color indexed="17"/>
      <name val="Tekton"/>
      <family val="2"/>
    </font>
    <font>
      <sz val="12"/>
      <color indexed="16"/>
      <name val="Tekton"/>
      <family val="2"/>
    </font>
    <font>
      <b/>
      <sz val="12"/>
      <color indexed="16"/>
      <name val="Technical"/>
      <family val="4"/>
    </font>
    <font>
      <sz val="12"/>
      <color indexed="17"/>
      <name val="Technical"/>
      <family val="4"/>
    </font>
    <font>
      <vertAlign val="subscript"/>
      <sz val="12"/>
      <color indexed="17"/>
      <name val="Tekton"/>
      <family val="2"/>
    </font>
    <font>
      <sz val="12"/>
      <color indexed="60"/>
      <name val="Technical"/>
      <family val="4"/>
    </font>
    <font>
      <b/>
      <sz val="12"/>
      <color indexed="12"/>
      <name val="Technical"/>
      <family val="4"/>
    </font>
    <font>
      <i/>
      <sz val="10"/>
      <color indexed="17"/>
      <name val="Technical"/>
      <family val="4"/>
    </font>
    <font>
      <b/>
      <sz val="12"/>
      <color indexed="13"/>
      <name val="Tekton"/>
      <family val="2"/>
    </font>
    <font>
      <sz val="12"/>
      <color indexed="14"/>
      <name val="Tekton"/>
      <family val="2"/>
    </font>
    <font>
      <b/>
      <sz val="12"/>
      <color indexed="17"/>
      <name val="Tekton"/>
      <family val="2"/>
    </font>
    <font>
      <sz val="12"/>
      <color indexed="12"/>
      <name val="Technical"/>
      <family val="4"/>
    </font>
    <font>
      <sz val="12"/>
      <color indexed="17"/>
      <name val="Technical"/>
      <family val="4"/>
    </font>
    <font>
      <sz val="12"/>
      <color indexed="10"/>
      <name val="Technical"/>
      <family val="4"/>
    </font>
    <font>
      <b/>
      <sz val="12"/>
      <color indexed="12"/>
      <name val="Symbol"/>
      <family val="1"/>
      <charset val="2"/>
    </font>
    <font>
      <b/>
      <sz val="12"/>
      <color indexed="14"/>
      <name val="Tekton"/>
      <family val="2"/>
    </font>
    <font>
      <b/>
      <sz val="14"/>
      <color indexed="60"/>
      <name val="Tekton"/>
      <family val="2"/>
    </font>
    <font>
      <b/>
      <sz val="10"/>
      <color indexed="43"/>
      <name val="Tekton"/>
      <family val="2"/>
    </font>
    <font>
      <sz val="12"/>
      <color indexed="14"/>
      <name val="Technical"/>
      <family val="4"/>
    </font>
    <font>
      <sz val="12"/>
      <color indexed="14"/>
      <name val="Technical"/>
      <family val="4"/>
    </font>
    <font>
      <sz val="12"/>
      <color indexed="60"/>
      <name val="Trebuchet MS"/>
      <family val="2"/>
    </font>
    <font>
      <sz val="14"/>
      <color indexed="12"/>
      <name val="Trebuchet MS"/>
      <family val="2"/>
    </font>
    <font>
      <sz val="12"/>
      <color indexed="17"/>
      <name val="Trebuchet MS"/>
      <family val="2"/>
    </font>
    <font>
      <sz val="12"/>
      <color indexed="12"/>
      <name val="Trebuchet MS"/>
      <family val="2"/>
    </font>
    <font>
      <sz val="12"/>
      <name val="Trebuchet MS"/>
      <family val="2"/>
    </font>
    <font>
      <vertAlign val="subscript"/>
      <sz val="12"/>
      <color indexed="17"/>
      <name val="Trebuchet MS"/>
      <family val="2"/>
    </font>
    <font>
      <sz val="12"/>
      <color indexed="16"/>
      <name val="Trebuchet MS"/>
      <family val="2"/>
    </font>
    <font>
      <b/>
      <sz val="12"/>
      <color indexed="10"/>
      <name val="Trebuchet MS"/>
      <family val="2"/>
    </font>
    <font>
      <i/>
      <sz val="12"/>
      <color indexed="60"/>
      <name val="Trebuchet MS"/>
      <family val="2"/>
    </font>
    <font>
      <b/>
      <sz val="12"/>
      <color indexed="16"/>
      <name val="Trebuchet MS"/>
      <family val="2"/>
    </font>
    <font>
      <i/>
      <sz val="12"/>
      <color indexed="10"/>
      <name val="Trebuchet MS"/>
      <family val="2"/>
    </font>
    <font>
      <b/>
      <sz val="12"/>
      <color indexed="9"/>
      <name val="Trebuchet MS"/>
      <family val="2"/>
    </font>
    <font>
      <b/>
      <sz val="12"/>
      <color indexed="62"/>
      <name val="Trebuchet MS"/>
      <family val="2"/>
    </font>
    <font>
      <sz val="12"/>
      <color indexed="62"/>
      <name val="Trebuchet MS"/>
      <family val="2"/>
    </font>
    <font>
      <sz val="12"/>
      <color indexed="62"/>
      <name val="Tekton"/>
      <family val="2"/>
    </font>
    <font>
      <i/>
      <sz val="12"/>
      <name val="Trebuchet MS"/>
      <family val="2"/>
    </font>
    <font>
      <sz val="10"/>
      <name val="Trebuchet MS"/>
      <family val="2"/>
    </font>
    <font>
      <sz val="8"/>
      <name val="Trebuchet MS"/>
      <family val="2"/>
    </font>
    <font>
      <i/>
      <sz val="12"/>
      <color indexed="21"/>
      <name val="Trebuchet MS"/>
      <family val="2"/>
    </font>
    <font>
      <i/>
      <sz val="8"/>
      <color indexed="23"/>
      <name val="Trebuchet MS"/>
      <family val="2"/>
    </font>
    <font>
      <sz val="8"/>
      <color indexed="23"/>
      <name val="Trebuchet MS"/>
      <family val="2"/>
    </font>
    <font>
      <i/>
      <sz val="12"/>
      <color indexed="21"/>
      <name val="Tekton"/>
      <family val="2"/>
    </font>
    <font>
      <sz val="14"/>
      <color indexed="16"/>
      <name val="Arial"/>
      <family val="2"/>
    </font>
    <font>
      <i/>
      <sz val="11"/>
      <color indexed="62"/>
      <name val="Trebuchet MS"/>
      <family val="2"/>
    </font>
    <font>
      <sz val="12"/>
      <color indexed="20"/>
      <name val="Trebuchet MS"/>
      <family val="2"/>
    </font>
    <font>
      <sz val="8"/>
      <name val="Arial"/>
      <family val="2"/>
    </font>
    <font>
      <sz val="14"/>
      <color indexed="62"/>
      <name val="Trebuchet MS"/>
      <family val="2"/>
    </font>
    <font>
      <b/>
      <sz val="16"/>
      <color indexed="62"/>
      <name val="Gill Sans"/>
      <family val="2"/>
    </font>
    <font>
      <sz val="14"/>
      <color indexed="60"/>
      <name val="Trebuchet MS"/>
      <family val="2"/>
    </font>
    <font>
      <b/>
      <sz val="18"/>
      <color indexed="16"/>
      <name val="Trebuchet MS"/>
      <family val="2"/>
    </font>
    <font>
      <b/>
      <sz val="14"/>
      <color indexed="16"/>
      <name val="Trebuchet MS"/>
      <family val="2"/>
    </font>
    <font>
      <b/>
      <sz val="14"/>
      <color indexed="62"/>
      <name val="Trebuchet MS"/>
      <family val="2"/>
    </font>
    <font>
      <b/>
      <i/>
      <sz val="24"/>
      <color indexed="17"/>
      <name val="Trebuchet MS"/>
      <family val="2"/>
    </font>
    <font>
      <vertAlign val="subscript"/>
      <sz val="12"/>
      <name val="Trebuchet MS"/>
      <family val="2"/>
    </font>
    <font>
      <i/>
      <sz val="12"/>
      <name val="Tekton"/>
      <family val="2"/>
    </font>
    <font>
      <i/>
      <vertAlign val="superscript"/>
      <sz val="12"/>
      <name val="Tekton"/>
      <family val="2"/>
    </font>
    <font>
      <sz val="12"/>
      <color indexed="16"/>
      <name val="Technical"/>
      <family val="4"/>
    </font>
    <font>
      <i/>
      <sz val="12"/>
      <color indexed="16"/>
      <name val="Tekton"/>
      <family val="2"/>
    </font>
    <font>
      <b/>
      <sz val="12"/>
      <color indexed="17"/>
      <name val="Trebuchet MS"/>
      <family val="2"/>
    </font>
    <font>
      <sz val="12"/>
      <color indexed="62"/>
      <name val="Marker"/>
      <family val="2"/>
    </font>
    <font>
      <b/>
      <sz val="12"/>
      <color indexed="60"/>
      <name val="Trebuchet MS"/>
      <family val="2"/>
    </font>
    <font>
      <b/>
      <sz val="12"/>
      <name val="Technical"/>
      <family val="4"/>
    </font>
    <font>
      <b/>
      <sz val="10"/>
      <color indexed="62"/>
      <name val="Trebuchet MS"/>
      <family val="2"/>
    </font>
    <font>
      <b/>
      <vertAlign val="subscript"/>
      <sz val="10"/>
      <color indexed="62"/>
      <name val="Trebuchet MS"/>
      <family val="2"/>
    </font>
    <font>
      <b/>
      <vertAlign val="subscript"/>
      <sz val="12"/>
      <color indexed="62"/>
      <name val="Trebuchet MS"/>
      <family val="2"/>
    </font>
    <font>
      <sz val="12"/>
      <name val="Technical"/>
      <family val="4"/>
    </font>
    <font>
      <sz val="7"/>
      <name val="Trebuchet MS"/>
      <family val="2"/>
    </font>
    <font>
      <sz val="7"/>
      <color indexed="16"/>
      <name val="Trebuchet MS"/>
      <family val="2"/>
    </font>
    <font>
      <i/>
      <sz val="8"/>
      <color indexed="23"/>
      <name val="Tekton"/>
      <family val="2"/>
    </font>
    <font>
      <i/>
      <sz val="10"/>
      <color indexed="17"/>
      <name val="Tekton"/>
      <family val="2"/>
    </font>
    <font>
      <b/>
      <sz val="16"/>
      <color indexed="12"/>
      <name val="Gill Sans"/>
    </font>
    <font>
      <sz val="11"/>
      <color indexed="21"/>
      <name val="Tekton"/>
      <family val="2"/>
    </font>
    <font>
      <i/>
      <sz val="11"/>
      <color indexed="21"/>
      <name val="Tekton"/>
      <family val="2"/>
    </font>
    <font>
      <b/>
      <sz val="12"/>
      <color indexed="57"/>
      <name val="Trebuchet MS"/>
      <family val="2"/>
    </font>
    <font>
      <sz val="10"/>
      <name val="Technical"/>
      <family val="4"/>
    </font>
    <font>
      <vertAlign val="subscript"/>
      <sz val="12"/>
      <name val="Technical"/>
      <family val="4"/>
    </font>
    <font>
      <sz val="12"/>
      <color indexed="21"/>
      <name val="Technical"/>
      <family val="4"/>
    </font>
    <font>
      <sz val="12"/>
      <color indexed="9"/>
      <name val="Tekton"/>
      <family val="2"/>
    </font>
    <font>
      <i/>
      <sz val="12"/>
      <color indexed="62"/>
      <name val="Trebuchet MS"/>
      <family val="2"/>
    </font>
    <font>
      <i/>
      <vertAlign val="subscript"/>
      <sz val="12"/>
      <color indexed="62"/>
      <name val="Trebuchet MS"/>
      <family val="2"/>
    </font>
    <font>
      <sz val="12"/>
      <name val="Arial Narrow"/>
      <family val="2"/>
    </font>
    <font>
      <sz val="14"/>
      <name val="Arial Narrow"/>
      <family val="2"/>
    </font>
    <font>
      <b/>
      <sz val="14"/>
      <color indexed="62"/>
      <name val="Arial Narrow"/>
      <family val="2"/>
    </font>
    <font>
      <sz val="11"/>
      <name val="Arial Narrow"/>
      <family val="2"/>
    </font>
    <font>
      <sz val="14"/>
      <color indexed="17"/>
      <name val="Arial Narrow"/>
      <family val="2"/>
    </font>
    <font>
      <i/>
      <sz val="11"/>
      <name val="Arial Narrow"/>
      <family val="2"/>
    </font>
    <font>
      <b/>
      <sz val="12"/>
      <color indexed="62"/>
      <name val="Arial Narrow"/>
      <family val="2"/>
    </font>
    <font>
      <b/>
      <i/>
      <sz val="12"/>
      <color indexed="16"/>
      <name val="Arial Narrow"/>
      <family val="2"/>
    </font>
    <font>
      <b/>
      <i/>
      <sz val="14"/>
      <color indexed="16"/>
      <name val="Arial Narrow"/>
      <family val="2"/>
    </font>
    <font>
      <b/>
      <i/>
      <sz val="12"/>
      <color indexed="62"/>
      <name val="Arial Narrow"/>
      <family val="2"/>
    </font>
    <font>
      <b/>
      <i/>
      <sz val="12"/>
      <color indexed="60"/>
      <name val="Arial Narrow"/>
      <family val="2"/>
    </font>
    <font>
      <sz val="14"/>
      <color indexed="62"/>
      <name val="Arial Narrow"/>
      <family val="2"/>
    </font>
    <font>
      <vertAlign val="subscript"/>
      <sz val="11"/>
      <name val="Arial Narrow"/>
      <family val="2"/>
    </font>
    <font>
      <sz val="12"/>
      <color indexed="55"/>
      <name val="Arial Narrow"/>
      <family val="2"/>
    </font>
    <font>
      <b/>
      <sz val="12"/>
      <color rgb="FFBC0000"/>
      <name val="Trebuchet MS"/>
      <family val="2"/>
    </font>
    <font>
      <sz val="12"/>
      <color rgb="FFFF0000"/>
      <name val="Technical"/>
      <family val="4"/>
    </font>
    <font>
      <sz val="11"/>
      <color rgb="FF1F497D"/>
      <name val="Calibri"/>
      <family val="2"/>
    </font>
    <font>
      <i/>
      <vertAlign val="subscript"/>
      <sz val="12"/>
      <color indexed="21"/>
      <name val="Trebuchet MS"/>
      <family val="2"/>
    </font>
    <font>
      <b/>
      <sz val="12"/>
      <color theme="9" tint="-0.499984740745262"/>
      <name val="Trebuchet MS"/>
      <family val="2"/>
    </font>
    <font>
      <sz val="12"/>
      <color rgb="FFFF0000"/>
      <name val="Trebuchet MS"/>
      <family val="2"/>
    </font>
    <font>
      <i/>
      <sz val="11"/>
      <color theme="9" tint="-0.499984740745262"/>
      <name val="Trebuchet MS"/>
      <family val="2"/>
    </font>
    <font>
      <i/>
      <sz val="11"/>
      <color theme="9" tint="-0.499984740745262"/>
      <name val="Tekton"/>
      <family val="2"/>
    </font>
    <font>
      <i/>
      <sz val="12"/>
      <color theme="9" tint="-0.499984740745262"/>
      <name val="Tekton"/>
      <family val="2"/>
    </font>
    <font>
      <i/>
      <sz val="11"/>
      <color indexed="21"/>
      <name val="Trebuchet MS"/>
      <family val="2"/>
    </font>
    <font>
      <i/>
      <sz val="11"/>
      <color rgb="FFFF0000"/>
      <name val="Trebuchet MS"/>
      <family val="2"/>
    </font>
    <font>
      <sz val="12"/>
      <color theme="9" tint="-0.499984740745262"/>
      <name val="Trebuchet MS"/>
      <family val="2"/>
    </font>
    <font>
      <b/>
      <sz val="12"/>
      <color rgb="FFFF0000"/>
      <name val="Technical"/>
      <family val="4"/>
    </font>
    <font>
      <sz val="12"/>
      <color rgb="FFFF0000"/>
      <name val="Tekton"/>
      <family val="2"/>
    </font>
    <font>
      <i/>
      <sz val="12"/>
      <color indexed="17"/>
      <name val="Trebuchet MS"/>
      <family val="2"/>
    </font>
    <font>
      <b/>
      <i/>
      <sz val="12"/>
      <color indexed="62"/>
      <name val="Trebuchet MS"/>
      <family val="2"/>
    </font>
    <font>
      <b/>
      <sz val="12"/>
      <color rgb="FFC00000"/>
      <name val="Technical"/>
      <family val="4"/>
    </font>
    <font>
      <b/>
      <sz val="12"/>
      <color rgb="FF00B050"/>
      <name val="Tekton"/>
      <family val="2"/>
    </font>
    <font>
      <b/>
      <i/>
      <sz val="10"/>
      <color indexed="62"/>
      <name val="Trebuchet MS"/>
      <family val="2"/>
    </font>
    <font>
      <i/>
      <sz val="12"/>
      <name val="Technical"/>
      <family val="4"/>
    </font>
    <font>
      <b/>
      <sz val="12"/>
      <color rgb="FF002060"/>
      <name val="Tekton"/>
      <family val="2"/>
    </font>
    <font>
      <i/>
      <vertAlign val="subscript"/>
      <sz val="12"/>
      <name val="Tekton"/>
      <family val="2"/>
    </font>
  </fonts>
  <fills count="18">
    <fill>
      <patternFill patternType="none"/>
    </fill>
    <fill>
      <patternFill patternType="gray125"/>
    </fill>
    <fill>
      <patternFill patternType="solid">
        <fgColor indexed="9"/>
        <bgColor indexed="9"/>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47"/>
        <bgColor indexed="64"/>
      </patternFill>
    </fill>
    <fill>
      <patternFill patternType="solid">
        <fgColor indexed="43"/>
        <bgColor indexed="64"/>
      </patternFill>
    </fill>
    <fill>
      <patternFill patternType="solid">
        <fgColor indexed="10"/>
        <bgColor indexed="64"/>
      </patternFill>
    </fill>
    <fill>
      <patternFill patternType="solid">
        <fgColor indexed="41"/>
        <bgColor indexed="9"/>
      </patternFill>
    </fill>
    <fill>
      <patternFill patternType="solid">
        <fgColor indexed="54"/>
        <bgColor indexed="64"/>
      </patternFill>
    </fill>
    <fill>
      <patternFill patternType="solid">
        <fgColor indexed="45"/>
        <bgColor indexed="64"/>
      </patternFill>
    </fill>
    <fill>
      <patternFill patternType="solid">
        <fgColor indexed="26"/>
        <bgColor indexed="64"/>
      </patternFill>
    </fill>
    <fill>
      <patternFill patternType="solid">
        <fgColor indexed="26"/>
        <bgColor indexed="9"/>
      </patternFill>
    </fill>
    <fill>
      <patternFill patternType="solid">
        <fgColor theme="0"/>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rgb="FFFFFF99"/>
        <bgColor indexed="64"/>
      </patternFill>
    </fill>
  </fills>
  <borders count="70">
    <border>
      <left/>
      <right/>
      <top/>
      <bottom/>
      <diagonal/>
    </border>
    <border>
      <left/>
      <right style="thin">
        <color indexed="64"/>
      </right>
      <top style="thin">
        <color indexed="64"/>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2"/>
      </left>
      <right/>
      <top style="medium">
        <color indexed="62"/>
      </top>
      <bottom/>
      <diagonal/>
    </border>
    <border>
      <left/>
      <right/>
      <top style="medium">
        <color indexed="62"/>
      </top>
      <bottom/>
      <diagonal/>
    </border>
    <border>
      <left style="medium">
        <color indexed="62"/>
      </left>
      <right/>
      <top/>
      <bottom/>
      <diagonal/>
    </border>
    <border>
      <left style="medium">
        <color indexed="62"/>
      </left>
      <right/>
      <top/>
      <bottom style="medium">
        <color indexed="62"/>
      </bottom>
      <diagonal/>
    </border>
    <border>
      <left/>
      <right/>
      <top/>
      <bottom style="medium">
        <color indexed="62"/>
      </bottom>
      <diagonal/>
    </border>
    <border>
      <left/>
      <right style="medium">
        <color indexed="62"/>
      </right>
      <top style="medium">
        <color indexed="62"/>
      </top>
      <bottom/>
      <diagonal/>
    </border>
    <border>
      <left/>
      <right style="medium">
        <color indexed="62"/>
      </right>
      <top/>
      <bottom/>
      <diagonal/>
    </border>
    <border>
      <left/>
      <right style="medium">
        <color indexed="62"/>
      </right>
      <top/>
      <bottom style="medium">
        <color indexed="62"/>
      </bottom>
      <diagonal/>
    </border>
    <border>
      <left style="medium">
        <color indexed="62"/>
      </left>
      <right style="thin">
        <color indexed="62"/>
      </right>
      <top/>
      <bottom style="thin">
        <color indexed="62"/>
      </bottom>
      <diagonal/>
    </border>
    <border>
      <left style="thin">
        <color indexed="62"/>
      </left>
      <right/>
      <top/>
      <bottom style="thin">
        <color indexed="62"/>
      </bottom>
      <diagonal/>
    </border>
    <border>
      <left/>
      <right style="thin">
        <color indexed="62"/>
      </right>
      <top/>
      <bottom style="thin">
        <color indexed="62"/>
      </bottom>
      <diagonal/>
    </border>
    <border>
      <left style="thin">
        <color indexed="62"/>
      </left>
      <right style="medium">
        <color indexed="62"/>
      </right>
      <top/>
      <bottom style="thin">
        <color indexed="62"/>
      </bottom>
      <diagonal/>
    </border>
    <border>
      <left style="medium">
        <color indexed="62"/>
      </left>
      <right style="thin">
        <color indexed="62"/>
      </right>
      <top/>
      <bottom style="medium">
        <color indexed="62"/>
      </bottom>
      <diagonal/>
    </border>
    <border>
      <left style="thin">
        <color indexed="62"/>
      </left>
      <right/>
      <top/>
      <bottom style="medium">
        <color indexed="62"/>
      </bottom>
      <diagonal/>
    </border>
    <border>
      <left/>
      <right style="thin">
        <color indexed="62"/>
      </right>
      <top/>
      <bottom style="medium">
        <color indexed="62"/>
      </bottom>
      <diagonal/>
    </border>
    <border>
      <left style="thin">
        <color indexed="62"/>
      </left>
      <right style="medium">
        <color indexed="62"/>
      </right>
      <top/>
      <bottom style="medium">
        <color indexed="62"/>
      </bottom>
      <diagonal/>
    </border>
    <border>
      <left style="medium">
        <color indexed="62"/>
      </left>
      <right style="thin">
        <color indexed="62"/>
      </right>
      <top style="medium">
        <color indexed="62"/>
      </top>
      <bottom/>
      <diagonal/>
    </border>
    <border>
      <left style="thin">
        <color indexed="62"/>
      </left>
      <right/>
      <top style="medium">
        <color indexed="62"/>
      </top>
      <bottom/>
      <diagonal/>
    </border>
    <border>
      <left/>
      <right style="thin">
        <color indexed="62"/>
      </right>
      <top style="medium">
        <color indexed="62"/>
      </top>
      <bottom/>
      <diagonal/>
    </border>
    <border>
      <left style="thin">
        <color indexed="62"/>
      </left>
      <right style="medium">
        <color indexed="62"/>
      </right>
      <top style="medium">
        <color indexed="62"/>
      </top>
      <bottom/>
      <diagonal/>
    </border>
    <border>
      <left style="medium">
        <color indexed="62"/>
      </left>
      <right style="thin">
        <color indexed="62"/>
      </right>
      <top style="thin">
        <color indexed="62"/>
      </top>
      <bottom/>
      <diagonal/>
    </border>
    <border>
      <left style="thin">
        <color indexed="62"/>
      </left>
      <right/>
      <top style="thin">
        <color indexed="62"/>
      </top>
      <bottom/>
      <diagonal/>
    </border>
    <border>
      <left/>
      <right style="thin">
        <color indexed="62"/>
      </right>
      <top style="thin">
        <color indexed="62"/>
      </top>
      <bottom/>
      <diagonal/>
    </border>
    <border>
      <left style="thin">
        <color indexed="62"/>
      </left>
      <right style="medium">
        <color indexed="62"/>
      </right>
      <top style="thin">
        <color indexed="62"/>
      </top>
      <bottom/>
      <diagonal/>
    </border>
    <border>
      <left style="thin">
        <color indexed="62"/>
      </left>
      <right/>
      <top/>
      <bottom/>
      <diagonal/>
    </border>
    <border>
      <left/>
      <right style="thin">
        <color indexed="62"/>
      </right>
      <top/>
      <bottom/>
      <diagonal/>
    </border>
    <border>
      <left style="medium">
        <color indexed="62"/>
      </left>
      <right style="thin">
        <color indexed="62"/>
      </right>
      <top/>
      <bottom/>
      <diagonal/>
    </border>
    <border>
      <left style="thin">
        <color indexed="62"/>
      </left>
      <right style="medium">
        <color indexed="62"/>
      </right>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right style="medium">
        <color indexed="62"/>
      </right>
      <top style="thin">
        <color indexed="64"/>
      </top>
      <bottom style="thin">
        <color indexed="64"/>
      </bottom>
      <diagonal/>
    </border>
    <border>
      <left style="medium">
        <color indexed="62"/>
      </left>
      <right style="thin">
        <color indexed="8"/>
      </right>
      <top style="medium">
        <color indexed="62"/>
      </top>
      <bottom style="medium">
        <color indexed="62"/>
      </bottom>
      <diagonal/>
    </border>
    <border>
      <left style="thin">
        <color indexed="8"/>
      </left>
      <right style="thin">
        <color indexed="8"/>
      </right>
      <top style="medium">
        <color indexed="62"/>
      </top>
      <bottom style="medium">
        <color indexed="62"/>
      </bottom>
      <diagonal/>
    </border>
    <border>
      <left style="thin">
        <color indexed="8"/>
      </left>
      <right style="medium">
        <color indexed="62"/>
      </right>
      <top style="medium">
        <color indexed="62"/>
      </top>
      <bottom style="medium">
        <color indexed="62"/>
      </bottom>
      <diagonal/>
    </border>
    <border>
      <left style="medium">
        <color indexed="62"/>
      </left>
      <right style="thin">
        <color indexed="62"/>
      </right>
      <top style="medium">
        <color indexed="62"/>
      </top>
      <bottom style="thin">
        <color indexed="62"/>
      </bottom>
      <diagonal/>
    </border>
    <border>
      <left style="thin">
        <color indexed="62"/>
      </left>
      <right style="thin">
        <color indexed="62"/>
      </right>
      <top style="medium">
        <color indexed="62"/>
      </top>
      <bottom style="thin">
        <color indexed="62"/>
      </bottom>
      <diagonal/>
    </border>
    <border>
      <left style="thin">
        <color indexed="62"/>
      </left>
      <right style="medium">
        <color indexed="62"/>
      </right>
      <top style="medium">
        <color indexed="62"/>
      </top>
      <bottom style="thin">
        <color indexed="62"/>
      </bottom>
      <diagonal/>
    </border>
    <border>
      <left style="thin">
        <color indexed="62"/>
      </left>
      <right style="thin">
        <color indexed="62"/>
      </right>
      <top/>
      <bottom style="thin">
        <color indexed="62"/>
      </bottom>
      <diagonal/>
    </border>
    <border>
      <left style="medium">
        <color indexed="62"/>
      </left>
      <right style="thin">
        <color indexed="62"/>
      </right>
      <top style="thin">
        <color indexed="62"/>
      </top>
      <bottom style="thin">
        <color indexed="62"/>
      </bottom>
      <diagonal/>
    </border>
    <border>
      <left style="thin">
        <color indexed="62"/>
      </left>
      <right style="thin">
        <color indexed="62"/>
      </right>
      <top style="thin">
        <color indexed="62"/>
      </top>
      <bottom style="thin">
        <color indexed="62"/>
      </bottom>
      <diagonal/>
    </border>
    <border>
      <left style="thin">
        <color indexed="62"/>
      </left>
      <right style="medium">
        <color indexed="62"/>
      </right>
      <top style="thin">
        <color indexed="62"/>
      </top>
      <bottom style="thin">
        <color indexed="62"/>
      </bottom>
      <diagonal/>
    </border>
    <border>
      <left style="medium">
        <color indexed="62"/>
      </left>
      <right style="thin">
        <color indexed="62"/>
      </right>
      <top style="thin">
        <color indexed="62"/>
      </top>
      <bottom style="medium">
        <color indexed="62"/>
      </bottom>
      <diagonal/>
    </border>
    <border>
      <left style="thin">
        <color indexed="62"/>
      </left>
      <right style="thin">
        <color indexed="62"/>
      </right>
      <top style="thin">
        <color indexed="62"/>
      </top>
      <bottom style="medium">
        <color indexed="62"/>
      </bottom>
      <diagonal/>
    </border>
    <border>
      <left style="thin">
        <color indexed="62"/>
      </left>
      <right style="medium">
        <color indexed="62"/>
      </right>
      <top style="thin">
        <color indexed="62"/>
      </top>
      <bottom style="medium">
        <color indexed="62"/>
      </bottom>
      <diagonal/>
    </border>
    <border>
      <left style="medium">
        <color indexed="62"/>
      </left>
      <right/>
      <top style="medium">
        <color indexed="62"/>
      </top>
      <bottom style="medium">
        <color indexed="62"/>
      </bottom>
      <diagonal/>
    </border>
    <border>
      <left/>
      <right/>
      <top style="medium">
        <color indexed="62"/>
      </top>
      <bottom style="medium">
        <color indexed="62"/>
      </bottom>
      <diagonal/>
    </border>
    <border>
      <left/>
      <right style="medium">
        <color indexed="62"/>
      </right>
      <top style="medium">
        <color indexed="62"/>
      </top>
      <bottom style="medium">
        <color indexed="62"/>
      </bottom>
      <diagonal/>
    </border>
    <border>
      <left style="thin">
        <color indexed="62"/>
      </left>
      <right/>
      <top style="thin">
        <color indexed="62"/>
      </top>
      <bottom style="thin">
        <color indexed="62"/>
      </bottom>
      <diagonal/>
    </border>
    <border>
      <left/>
      <right style="thin">
        <color indexed="64"/>
      </right>
      <top style="thin">
        <color indexed="62"/>
      </top>
      <bottom style="thin">
        <color indexed="62"/>
      </bottom>
      <diagonal/>
    </border>
    <border>
      <left style="medium">
        <color auto="1"/>
      </left>
      <right/>
      <top/>
      <bottom/>
      <diagonal/>
    </border>
  </borders>
  <cellStyleXfs count="1">
    <xf numFmtId="0" fontId="0" fillId="0" borderId="0"/>
  </cellStyleXfs>
  <cellXfs count="753">
    <xf numFmtId="0" fontId="0" fillId="0" borderId="0" xfId="0"/>
    <xf numFmtId="0" fontId="5" fillId="0" borderId="0" xfId="0" applyFont="1" applyAlignment="1">
      <alignment horizontal="right"/>
    </xf>
    <xf numFmtId="0" fontId="5" fillId="0" borderId="0" xfId="0" applyFont="1"/>
    <xf numFmtId="0" fontId="5" fillId="0" borderId="0" xfId="0" applyFont="1" applyAlignment="1">
      <alignment horizontal="center"/>
    </xf>
    <xf numFmtId="164" fontId="5" fillId="0" borderId="0" xfId="0" applyNumberFormat="1" applyFont="1" applyAlignment="1">
      <alignment horizontal="center"/>
    </xf>
    <xf numFmtId="0" fontId="5" fillId="0" borderId="0" xfId="0" applyFont="1" applyAlignment="1">
      <alignment horizontal="left"/>
    </xf>
    <xf numFmtId="0" fontId="7" fillId="2" borderId="0" xfId="0" applyFont="1" applyFill="1" applyBorder="1"/>
    <xf numFmtId="0" fontId="5" fillId="0" borderId="0" xfId="0" applyFont="1" applyBorder="1" applyAlignment="1">
      <alignment horizontal="center"/>
    </xf>
    <xf numFmtId="0" fontId="0" fillId="0" borderId="0" xfId="0" applyAlignment="1">
      <alignment horizontal="center"/>
    </xf>
    <xf numFmtId="167" fontId="5" fillId="0" borderId="0" xfId="0" applyNumberFormat="1" applyFont="1" applyAlignment="1">
      <alignment horizontal="center"/>
    </xf>
    <xf numFmtId="0" fontId="5" fillId="0" borderId="1" xfId="0" applyFont="1" applyBorder="1" applyAlignment="1">
      <alignment horizontal="center"/>
    </xf>
    <xf numFmtId="0" fontId="5" fillId="0" borderId="2" xfId="0" applyFont="1" applyBorder="1" applyAlignment="1">
      <alignment horizontal="center"/>
    </xf>
    <xf numFmtId="0" fontId="19" fillId="0" borderId="0" xfId="0" applyFont="1" applyAlignment="1">
      <alignment horizontal="center"/>
    </xf>
    <xf numFmtId="0" fontId="16" fillId="0" borderId="0" xfId="0" applyFont="1" applyProtection="1">
      <protection locked="0"/>
    </xf>
    <xf numFmtId="0" fontId="0" fillId="0" borderId="0" xfId="0" applyAlignment="1">
      <alignment horizontal="right"/>
    </xf>
    <xf numFmtId="164" fontId="0" fillId="0" borderId="0" xfId="0" applyNumberFormat="1" applyAlignment="1">
      <alignment horizontal="left"/>
    </xf>
    <xf numFmtId="0" fontId="0" fillId="3" borderId="0" xfId="0" applyFill="1"/>
    <xf numFmtId="0" fontId="5" fillId="3" borderId="0" xfId="0" applyFont="1" applyFill="1" applyBorder="1" applyAlignment="1">
      <alignment horizontal="left"/>
    </xf>
    <xf numFmtId="0" fontId="23" fillId="0" borderId="0" xfId="0" applyFont="1" applyAlignment="1">
      <alignment horizontal="right"/>
    </xf>
    <xf numFmtId="0" fontId="0" fillId="0" borderId="0" xfId="0" applyAlignment="1">
      <alignment horizontal="left"/>
    </xf>
    <xf numFmtId="0" fontId="5" fillId="3" borderId="0" xfId="0" applyFont="1" applyFill="1" applyBorder="1" applyAlignment="1">
      <alignment horizontal="center"/>
    </xf>
    <xf numFmtId="1" fontId="5" fillId="3" borderId="0" xfId="0" applyNumberFormat="1" applyFont="1" applyFill="1" applyBorder="1" applyAlignment="1">
      <alignment horizontal="center"/>
    </xf>
    <xf numFmtId="0" fontId="5" fillId="3" borderId="2" xfId="0" applyFont="1" applyFill="1" applyBorder="1" applyAlignment="1">
      <alignment horizontal="center"/>
    </xf>
    <xf numFmtId="0" fontId="5" fillId="3" borderId="3" xfId="0" applyFont="1" applyFill="1" applyBorder="1" applyAlignment="1">
      <alignment horizontal="center"/>
    </xf>
    <xf numFmtId="166" fontId="5" fillId="3" borderId="0" xfId="0" applyNumberFormat="1" applyFont="1" applyFill="1" applyBorder="1" applyAlignment="1">
      <alignment horizontal="center"/>
    </xf>
    <xf numFmtId="0" fontId="5" fillId="3" borderId="4" xfId="0" applyFont="1" applyFill="1" applyBorder="1" applyAlignment="1">
      <alignment horizontal="center"/>
    </xf>
    <xf numFmtId="164" fontId="0" fillId="0" borderId="0" xfId="0" applyNumberFormat="1" applyAlignment="1">
      <alignment horizontal="center"/>
    </xf>
    <xf numFmtId="167" fontId="0" fillId="0" borderId="0" xfId="0" applyNumberFormat="1" applyAlignment="1">
      <alignment horizontal="center"/>
    </xf>
    <xf numFmtId="0" fontId="0" fillId="0" borderId="5" xfId="0" applyBorder="1" applyAlignment="1">
      <alignment horizontal="center"/>
    </xf>
    <xf numFmtId="0" fontId="0" fillId="0" borderId="0" xfId="0" applyNumberFormat="1" applyAlignment="1">
      <alignment horizontal="center"/>
    </xf>
    <xf numFmtId="0" fontId="0" fillId="0" borderId="6" xfId="0" applyBorder="1" applyAlignment="1">
      <alignment horizontal="center"/>
    </xf>
    <xf numFmtId="0" fontId="0" fillId="0" borderId="1" xfId="0" applyBorder="1" applyAlignment="1">
      <alignment horizontal="center"/>
    </xf>
    <xf numFmtId="0" fontId="0" fillId="0" borderId="4" xfId="0" applyBorder="1" applyAlignment="1">
      <alignment horizontal="center"/>
    </xf>
    <xf numFmtId="2" fontId="5" fillId="0" borderId="0" xfId="0" applyNumberFormat="1" applyFont="1" applyAlignment="1">
      <alignment horizontal="left"/>
    </xf>
    <xf numFmtId="166" fontId="5" fillId="0" borderId="0" xfId="0" applyNumberFormat="1" applyFont="1" applyAlignment="1">
      <alignment horizontal="left"/>
    </xf>
    <xf numFmtId="1" fontId="20" fillId="0" borderId="0" xfId="0" applyNumberFormat="1" applyFont="1" applyAlignment="1">
      <alignment horizontal="left"/>
    </xf>
    <xf numFmtId="0" fontId="20" fillId="0" borderId="0" xfId="0" applyFont="1" applyAlignment="1">
      <alignment horizontal="right"/>
    </xf>
    <xf numFmtId="0" fontId="5" fillId="0" borderId="7" xfId="0" applyFont="1" applyBorder="1" applyAlignment="1">
      <alignment horizontal="center"/>
    </xf>
    <xf numFmtId="0" fontId="5" fillId="0" borderId="8" xfId="0" applyFont="1" applyBorder="1" applyAlignment="1">
      <alignment horizontal="center"/>
    </xf>
    <xf numFmtId="0" fontId="5" fillId="0" borderId="9" xfId="0" applyFont="1" applyBorder="1" applyAlignment="1">
      <alignment horizontal="center"/>
    </xf>
    <xf numFmtId="0" fontId="36" fillId="0" borderId="0" xfId="0" applyFont="1" applyAlignment="1">
      <alignment horizontal="left"/>
    </xf>
    <xf numFmtId="167" fontId="0" fillId="4" borderId="6" xfId="0" applyNumberFormat="1" applyFill="1" applyBorder="1" applyAlignment="1">
      <alignment horizontal="center"/>
    </xf>
    <xf numFmtId="0" fontId="0" fillId="4" borderId="1" xfId="0" applyFill="1" applyBorder="1" applyAlignment="1">
      <alignment horizontal="center"/>
    </xf>
    <xf numFmtId="167" fontId="0" fillId="4" borderId="3" xfId="0" applyNumberFormat="1" applyFill="1" applyBorder="1" applyAlignment="1">
      <alignment horizontal="center"/>
    </xf>
    <xf numFmtId="0" fontId="0" fillId="4" borderId="10" xfId="0" applyFill="1" applyBorder="1" applyAlignment="1">
      <alignment horizontal="center"/>
    </xf>
    <xf numFmtId="167" fontId="0" fillId="4" borderId="4" xfId="0" applyNumberFormat="1" applyFill="1" applyBorder="1" applyAlignment="1">
      <alignment horizontal="center"/>
    </xf>
    <xf numFmtId="0" fontId="0" fillId="4" borderId="5" xfId="0" applyFill="1" applyBorder="1" applyAlignment="1">
      <alignment horizontal="center"/>
    </xf>
    <xf numFmtId="0" fontId="34" fillId="0" borderId="0" xfId="0" applyFont="1" applyAlignment="1">
      <alignment horizontal="right" vertical="center"/>
    </xf>
    <xf numFmtId="0" fontId="37" fillId="0" borderId="0" xfId="0" applyFont="1" applyAlignment="1">
      <alignment vertical="center"/>
    </xf>
    <xf numFmtId="0" fontId="0" fillId="0" borderId="0" xfId="0" applyAlignment="1">
      <alignment horizontal="right" vertical="center"/>
    </xf>
    <xf numFmtId="0" fontId="0" fillId="0" borderId="0" xfId="0" applyAlignment="1">
      <alignment horizontal="center" vertical="center"/>
    </xf>
    <xf numFmtId="0" fontId="0" fillId="0" borderId="0" xfId="0" applyAlignment="1">
      <alignment vertical="center"/>
    </xf>
    <xf numFmtId="0" fontId="5" fillId="0" borderId="0" xfId="0" applyFont="1" applyAlignment="1">
      <alignment horizontal="right" vertical="center"/>
    </xf>
    <xf numFmtId="1" fontId="5" fillId="0" borderId="0" xfId="0" applyNumberFormat="1" applyFont="1" applyAlignment="1">
      <alignment horizontal="center" vertical="center"/>
    </xf>
    <xf numFmtId="166" fontId="5" fillId="0" borderId="0" xfId="0" applyNumberFormat="1"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left" vertical="center"/>
    </xf>
    <xf numFmtId="0" fontId="35" fillId="0" borderId="0" xfId="0" applyFont="1" applyAlignment="1">
      <alignment horizontal="center" vertical="center"/>
    </xf>
    <xf numFmtId="0" fontId="39" fillId="0" borderId="0" xfId="0" applyFont="1" applyAlignment="1">
      <alignment horizontal="right" vertical="center"/>
    </xf>
    <xf numFmtId="1" fontId="39" fillId="0" borderId="0" xfId="0" applyNumberFormat="1" applyFont="1" applyAlignment="1">
      <alignment horizontal="center" vertical="center"/>
    </xf>
    <xf numFmtId="0" fontId="39" fillId="0" borderId="0" xfId="0" applyFont="1" applyAlignment="1">
      <alignment vertical="center"/>
    </xf>
    <xf numFmtId="0" fontId="34" fillId="0" borderId="0" xfId="0" applyFont="1" applyAlignment="1">
      <alignment horizontal="left" vertical="center"/>
    </xf>
    <xf numFmtId="167" fontId="39" fillId="0" borderId="0" xfId="0" applyNumberFormat="1" applyFont="1" applyAlignment="1">
      <alignment horizontal="center" vertical="center"/>
    </xf>
    <xf numFmtId="0" fontId="40" fillId="0" borderId="0" xfId="0" applyFont="1" applyAlignment="1">
      <alignment horizontal="center" vertical="center"/>
    </xf>
    <xf numFmtId="167" fontId="5" fillId="0" borderId="11" xfId="0" applyNumberFormat="1" applyFont="1" applyBorder="1" applyAlignment="1">
      <alignment horizontal="center"/>
    </xf>
    <xf numFmtId="167" fontId="5" fillId="0" borderId="1" xfId="0" applyNumberFormat="1" applyFont="1" applyBorder="1" applyAlignment="1">
      <alignment horizontal="center"/>
    </xf>
    <xf numFmtId="167" fontId="5" fillId="0" borderId="0" xfId="0" applyNumberFormat="1" applyFont="1" applyBorder="1" applyAlignment="1">
      <alignment horizontal="center"/>
    </xf>
    <xf numFmtId="0" fontId="5" fillId="0" borderId="11" xfId="0" applyNumberFormat="1" applyFont="1" applyBorder="1" applyAlignment="1">
      <alignment horizontal="center"/>
    </xf>
    <xf numFmtId="0" fontId="5" fillId="0" borderId="1" xfId="0" applyNumberFormat="1" applyFont="1" applyBorder="1" applyAlignment="1">
      <alignment horizontal="center"/>
    </xf>
    <xf numFmtId="0" fontId="5" fillId="0" borderId="2" xfId="0" applyNumberFormat="1" applyFont="1" applyBorder="1" applyAlignment="1">
      <alignment horizontal="center"/>
    </xf>
    <xf numFmtId="0" fontId="5" fillId="0" borderId="5" xfId="0" applyNumberFormat="1" applyFont="1" applyBorder="1" applyAlignment="1">
      <alignment horizontal="center"/>
    </xf>
    <xf numFmtId="0" fontId="5" fillId="0" borderId="6" xfId="0" applyNumberFormat="1" applyFont="1" applyBorder="1" applyAlignment="1">
      <alignment horizontal="center"/>
    </xf>
    <xf numFmtId="0" fontId="5" fillId="0" borderId="4" xfId="0" applyNumberFormat="1" applyFont="1" applyBorder="1" applyAlignment="1">
      <alignment horizontal="center"/>
    </xf>
    <xf numFmtId="0" fontId="21" fillId="5" borderId="0" xfId="0" applyFont="1" applyFill="1" applyAlignment="1">
      <alignment horizontal="center"/>
    </xf>
    <xf numFmtId="0" fontId="5" fillId="0" borderId="0" xfId="0" applyNumberFormat="1" applyFont="1" applyFill="1" applyAlignment="1">
      <alignment horizontal="left"/>
    </xf>
    <xf numFmtId="0" fontId="27" fillId="0" borderId="0" xfId="0" applyFont="1" applyFill="1" applyAlignment="1">
      <alignment horizontal="right"/>
    </xf>
    <xf numFmtId="0" fontId="5" fillId="0" borderId="0" xfId="0" applyFont="1" applyFill="1" applyBorder="1" applyAlignment="1">
      <alignment horizontal="left"/>
    </xf>
    <xf numFmtId="0" fontId="5" fillId="0" borderId="0" xfId="0" applyFont="1" applyFill="1"/>
    <xf numFmtId="0" fontId="5" fillId="0" borderId="0" xfId="0" applyFont="1" applyFill="1" applyAlignment="1">
      <alignment horizontal="right"/>
    </xf>
    <xf numFmtId="167" fontId="5" fillId="0" borderId="0" xfId="0" applyNumberFormat="1" applyFont="1" applyFill="1" applyAlignment="1">
      <alignment horizontal="left"/>
    </xf>
    <xf numFmtId="0" fontId="5" fillId="0" borderId="6" xfId="0" applyFont="1" applyFill="1" applyBorder="1" applyAlignment="1">
      <alignment horizontal="center"/>
    </xf>
    <xf numFmtId="1" fontId="5" fillId="0" borderId="11" xfId="0" applyNumberFormat="1" applyFont="1" applyFill="1" applyBorder="1" applyAlignment="1">
      <alignment horizontal="center"/>
    </xf>
    <xf numFmtId="1" fontId="28" fillId="0" borderId="1" xfId="0" applyNumberFormat="1" applyFont="1" applyFill="1" applyBorder="1" applyAlignment="1">
      <alignment horizontal="center"/>
    </xf>
    <xf numFmtId="0" fontId="0" fillId="0" borderId="0" xfId="0" applyFill="1"/>
    <xf numFmtId="1" fontId="5" fillId="0" borderId="6" xfId="0" applyNumberFormat="1" applyFont="1" applyFill="1" applyBorder="1" applyAlignment="1">
      <alignment horizontal="center"/>
    </xf>
    <xf numFmtId="166" fontId="28" fillId="0" borderId="1" xfId="0" applyNumberFormat="1" applyFont="1" applyFill="1" applyBorder="1" applyAlignment="1">
      <alignment horizontal="center"/>
    </xf>
    <xf numFmtId="0" fontId="5" fillId="0" borderId="3" xfId="0" applyFont="1" applyFill="1" applyBorder="1" applyAlignment="1">
      <alignment horizontal="center"/>
    </xf>
    <xf numFmtId="1" fontId="5" fillId="0" borderId="0" xfId="0" applyNumberFormat="1" applyFont="1" applyFill="1" applyBorder="1" applyAlignment="1">
      <alignment horizontal="center"/>
    </xf>
    <xf numFmtId="1" fontId="28" fillId="0" borderId="10" xfId="0" applyNumberFormat="1" applyFont="1" applyFill="1" applyBorder="1" applyAlignment="1">
      <alignment horizontal="center"/>
    </xf>
    <xf numFmtId="1" fontId="5" fillId="0" borderId="3" xfId="0" applyNumberFormat="1" applyFont="1" applyFill="1" applyBorder="1" applyAlignment="1">
      <alignment horizontal="center"/>
    </xf>
    <xf numFmtId="166" fontId="28" fillId="0" borderId="10" xfId="0" applyNumberFormat="1"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1" fontId="5" fillId="0" borderId="2" xfId="0" applyNumberFormat="1" applyFont="1" applyFill="1" applyBorder="1" applyAlignment="1">
      <alignment horizontal="center"/>
    </xf>
    <xf numFmtId="1" fontId="28" fillId="0" borderId="5" xfId="0" applyNumberFormat="1" applyFont="1" applyFill="1" applyBorder="1" applyAlignment="1">
      <alignment horizontal="center"/>
    </xf>
    <xf numFmtId="1" fontId="5" fillId="0" borderId="4" xfId="0" applyNumberFormat="1" applyFont="1" applyFill="1" applyBorder="1" applyAlignment="1">
      <alignment horizontal="center"/>
    </xf>
    <xf numFmtId="166" fontId="28" fillId="0" borderId="5" xfId="0" applyNumberFormat="1" applyFont="1" applyFill="1" applyBorder="1" applyAlignment="1">
      <alignment horizontal="center"/>
    </xf>
    <xf numFmtId="0" fontId="5" fillId="0" borderId="12" xfId="0" applyFont="1" applyFill="1" applyBorder="1" applyAlignment="1">
      <alignment horizontal="center"/>
    </xf>
    <xf numFmtId="164" fontId="5" fillId="0" borderId="13" xfId="0" applyNumberFormat="1" applyFont="1" applyFill="1" applyBorder="1" applyAlignment="1">
      <alignment horizontal="center"/>
    </xf>
    <xf numFmtId="166" fontId="0" fillId="0" borderId="0" xfId="0" applyNumberFormat="1" applyAlignment="1">
      <alignment horizontal="left"/>
    </xf>
    <xf numFmtId="0" fontId="5" fillId="3" borderId="6" xfId="0" applyFont="1" applyFill="1" applyBorder="1" applyAlignment="1">
      <alignment horizontal="center"/>
    </xf>
    <xf numFmtId="0" fontId="5" fillId="0" borderId="0" xfId="0" applyFont="1" applyFill="1" applyAlignment="1">
      <alignment horizontal="center" vertical="center"/>
    </xf>
    <xf numFmtId="167" fontId="0" fillId="0" borderId="0" xfId="0" applyNumberFormat="1" applyFill="1" applyAlignment="1">
      <alignment horizontal="center" vertical="center"/>
    </xf>
    <xf numFmtId="1" fontId="5" fillId="0" borderId="0" xfId="0" applyNumberFormat="1" applyFont="1" applyFill="1" applyAlignment="1">
      <alignment horizontal="center" vertical="center"/>
    </xf>
    <xf numFmtId="0" fontId="0" fillId="0" borderId="0" xfId="0" applyFill="1" applyAlignment="1">
      <alignment horizontal="center" vertical="center"/>
    </xf>
    <xf numFmtId="166" fontId="5" fillId="0" borderId="0" xfId="0" applyNumberFormat="1" applyFont="1" applyFill="1" applyAlignment="1">
      <alignment horizontal="center" vertical="center"/>
    </xf>
    <xf numFmtId="0" fontId="40" fillId="0" borderId="0" xfId="0" applyFont="1" applyFill="1" applyAlignment="1">
      <alignment horizontal="center" vertical="center"/>
    </xf>
    <xf numFmtId="167" fontId="39" fillId="0" borderId="0" xfId="0" applyNumberFormat="1" applyFont="1" applyFill="1" applyAlignment="1">
      <alignment horizontal="center" vertical="center"/>
    </xf>
    <xf numFmtId="1" fontId="39" fillId="0" borderId="0" xfId="0" applyNumberFormat="1" applyFont="1" applyFill="1" applyAlignment="1">
      <alignment horizontal="center" vertical="center"/>
    </xf>
    <xf numFmtId="0" fontId="35" fillId="0" borderId="0" xfId="0" applyFont="1" applyFill="1" applyAlignment="1">
      <alignment horizontal="center" vertical="center"/>
    </xf>
    <xf numFmtId="0" fontId="0" fillId="0" borderId="0" xfId="0" applyNumberFormat="1" applyFill="1" applyAlignment="1">
      <alignment horizontal="center"/>
    </xf>
    <xf numFmtId="0" fontId="5" fillId="0" borderId="0" xfId="0" applyFont="1" applyFill="1" applyBorder="1" applyAlignment="1">
      <alignment horizontal="center"/>
    </xf>
    <xf numFmtId="0" fontId="5" fillId="3" borderId="11" xfId="0" applyFont="1" applyFill="1" applyBorder="1" applyAlignment="1">
      <alignment horizontal="center"/>
    </xf>
    <xf numFmtId="0" fontId="0" fillId="0" borderId="0" xfId="0" applyFill="1" applyAlignment="1">
      <alignment horizontal="right" vertical="center"/>
    </xf>
    <xf numFmtId="0" fontId="5" fillId="0" borderId="0" xfId="0" applyFont="1" applyFill="1" applyAlignment="1">
      <alignment horizontal="right" vertical="center"/>
    </xf>
    <xf numFmtId="0" fontId="0" fillId="0" borderId="0" xfId="0" applyFill="1" applyAlignment="1">
      <alignment vertical="center"/>
    </xf>
    <xf numFmtId="0" fontId="5" fillId="0" borderId="0" xfId="0" applyFont="1" applyFill="1" applyAlignment="1">
      <alignment horizontal="left" vertical="center"/>
    </xf>
    <xf numFmtId="0" fontId="18" fillId="0" borderId="0" xfId="0" applyNumberFormat="1" applyFont="1" applyAlignment="1">
      <alignment horizontal="center"/>
    </xf>
    <xf numFmtId="0" fontId="11" fillId="0" borderId="0" xfId="0" applyFont="1" applyAlignment="1">
      <alignment horizontal="right"/>
    </xf>
    <xf numFmtId="0" fontId="45" fillId="0" borderId="0" xfId="0" applyFont="1" applyAlignment="1">
      <alignment horizontal="left"/>
    </xf>
    <xf numFmtId="166" fontId="5" fillId="0" borderId="0" xfId="0" applyNumberFormat="1" applyFont="1" applyAlignment="1">
      <alignment horizontal="right"/>
    </xf>
    <xf numFmtId="2" fontId="18" fillId="0" borderId="0" xfId="0" applyNumberFormat="1" applyFont="1" applyAlignment="1">
      <alignment horizontal="right"/>
    </xf>
    <xf numFmtId="2" fontId="18" fillId="0" borderId="0" xfId="0" applyNumberFormat="1" applyFont="1" applyAlignment="1">
      <alignment horizontal="left"/>
    </xf>
    <xf numFmtId="49" fontId="7" fillId="0" borderId="0" xfId="0" applyNumberFormat="1" applyFont="1" applyAlignment="1">
      <alignment horizontal="left"/>
    </xf>
    <xf numFmtId="167" fontId="29" fillId="0" borderId="0" xfId="0" applyNumberFormat="1" applyFont="1" applyAlignment="1">
      <alignment horizontal="center" vertical="center"/>
    </xf>
    <xf numFmtId="0" fontId="34" fillId="0" borderId="0" xfId="0" applyFont="1" applyAlignment="1">
      <alignment horizontal="right"/>
    </xf>
    <xf numFmtId="1" fontId="46" fillId="0" borderId="0" xfId="0" applyNumberFormat="1" applyFont="1" applyAlignment="1">
      <alignment horizontal="center" vertical="center"/>
    </xf>
    <xf numFmtId="0" fontId="46" fillId="0" borderId="0" xfId="0" applyFont="1" applyAlignment="1">
      <alignment horizontal="center" vertical="center"/>
    </xf>
    <xf numFmtId="167" fontId="46" fillId="0" borderId="0" xfId="0" applyNumberFormat="1" applyFont="1" applyAlignment="1">
      <alignment horizontal="center" vertical="center"/>
    </xf>
    <xf numFmtId="1" fontId="29" fillId="0" borderId="0" xfId="0" applyNumberFormat="1" applyFont="1" applyAlignment="1">
      <alignment horizontal="center" vertical="center"/>
    </xf>
    <xf numFmtId="1" fontId="46" fillId="0" borderId="0" xfId="0" applyNumberFormat="1" applyFont="1" applyFill="1" applyAlignment="1">
      <alignment horizontal="center" vertical="center"/>
    </xf>
    <xf numFmtId="0" fontId="46" fillId="0" borderId="0" xfId="0" applyFont="1" applyFill="1" applyAlignment="1">
      <alignment horizontal="center" vertical="center"/>
    </xf>
    <xf numFmtId="0" fontId="29" fillId="0" borderId="0" xfId="0" applyFont="1" applyAlignment="1">
      <alignment vertical="center"/>
    </xf>
    <xf numFmtId="0" fontId="29" fillId="0" borderId="0" xfId="0" applyFont="1" applyAlignment="1">
      <alignment horizontal="right"/>
    </xf>
    <xf numFmtId="0" fontId="29" fillId="0" borderId="0" xfId="0" applyFont="1" applyAlignment="1">
      <alignment horizontal="left"/>
    </xf>
    <xf numFmtId="2" fontId="11" fillId="0" borderId="0" xfId="0" applyNumberFormat="1" applyFont="1" applyAlignment="1">
      <alignment horizontal="center"/>
    </xf>
    <xf numFmtId="0" fontId="0" fillId="0" borderId="0" xfId="0" applyFill="1" applyAlignment="1">
      <alignment horizontal="center"/>
    </xf>
    <xf numFmtId="0" fontId="5" fillId="0" borderId="0" xfId="0" applyFont="1" applyFill="1" applyAlignment="1">
      <alignment horizontal="center"/>
    </xf>
    <xf numFmtId="0" fontId="36" fillId="0" borderId="0" xfId="0" applyFont="1" applyFill="1" applyAlignment="1">
      <alignment horizontal="left"/>
    </xf>
    <xf numFmtId="167" fontId="29" fillId="0" borderId="0" xfId="0" applyNumberFormat="1" applyFont="1" applyFill="1" applyAlignment="1">
      <alignment horizontal="center" vertical="center"/>
    </xf>
    <xf numFmtId="167" fontId="46" fillId="0" borderId="0" xfId="0" applyNumberFormat="1" applyFont="1" applyFill="1" applyAlignment="1">
      <alignment horizontal="center" vertical="center"/>
    </xf>
    <xf numFmtId="1" fontId="29" fillId="0" borderId="0" xfId="0" applyNumberFormat="1" applyFont="1" applyFill="1" applyAlignment="1">
      <alignment horizontal="center" vertical="center"/>
    </xf>
    <xf numFmtId="167" fontId="5" fillId="0" borderId="0" xfId="0" applyNumberFormat="1" applyFont="1" applyFill="1" applyAlignment="1">
      <alignment horizontal="center"/>
    </xf>
    <xf numFmtId="167" fontId="5" fillId="0" borderId="6" xfId="0" applyNumberFormat="1" applyFont="1" applyBorder="1" applyAlignment="1">
      <alignment horizontal="center"/>
    </xf>
    <xf numFmtId="164" fontId="5" fillId="0" borderId="11" xfId="0" applyNumberFormat="1" applyFont="1" applyBorder="1" applyAlignment="1">
      <alignment horizontal="center"/>
    </xf>
    <xf numFmtId="167" fontId="43" fillId="0" borderId="1" xfId="0" applyNumberFormat="1" applyFont="1" applyBorder="1" applyAlignment="1">
      <alignment horizontal="center"/>
    </xf>
    <xf numFmtId="167" fontId="5" fillId="0" borderId="3" xfId="0" applyNumberFormat="1" applyFont="1" applyBorder="1" applyAlignment="1">
      <alignment horizontal="center"/>
    </xf>
    <xf numFmtId="164" fontId="5" fillId="0" borderId="0" xfId="0" applyNumberFormat="1" applyFont="1" applyBorder="1" applyAlignment="1">
      <alignment horizontal="center"/>
    </xf>
    <xf numFmtId="167" fontId="43" fillId="0" borderId="10" xfId="0" applyNumberFormat="1" applyFont="1" applyBorder="1" applyAlignment="1">
      <alignment horizontal="center"/>
    </xf>
    <xf numFmtId="167" fontId="5" fillId="0" borderId="4" xfId="0" applyNumberFormat="1" applyFont="1" applyBorder="1" applyAlignment="1">
      <alignment horizontal="center"/>
    </xf>
    <xf numFmtId="167" fontId="5" fillId="0" borderId="2" xfId="0" applyNumberFormat="1" applyFont="1" applyBorder="1" applyAlignment="1">
      <alignment horizontal="center"/>
    </xf>
    <xf numFmtId="164" fontId="5" fillId="0" borderId="2" xfId="0" applyNumberFormat="1" applyFont="1" applyBorder="1" applyAlignment="1">
      <alignment horizontal="center"/>
    </xf>
    <xf numFmtId="167" fontId="43" fillId="0" borderId="5" xfId="0" applyNumberFormat="1" applyFont="1" applyBorder="1" applyAlignment="1">
      <alignment horizontal="center"/>
    </xf>
    <xf numFmtId="0" fontId="5" fillId="0" borderId="12" xfId="0" applyFont="1" applyBorder="1" applyAlignment="1">
      <alignment horizontal="center"/>
    </xf>
    <xf numFmtId="0" fontId="5" fillId="0" borderId="14" xfId="0" applyFont="1" applyBorder="1" applyAlignment="1">
      <alignment horizontal="center"/>
    </xf>
    <xf numFmtId="0" fontId="5" fillId="0" borderId="13" xfId="0" applyFont="1" applyBorder="1" applyAlignment="1">
      <alignment horizontal="center"/>
    </xf>
    <xf numFmtId="164" fontId="5" fillId="0" borderId="0" xfId="0" applyNumberFormat="1" applyFont="1" applyAlignment="1">
      <alignment horizontal="left"/>
    </xf>
    <xf numFmtId="168" fontId="0" fillId="0" borderId="0" xfId="0" applyNumberFormat="1" applyAlignment="1">
      <alignment horizontal="right"/>
    </xf>
    <xf numFmtId="168" fontId="0" fillId="0" borderId="0" xfId="0" applyNumberFormat="1" applyAlignment="1">
      <alignment horizontal="left"/>
    </xf>
    <xf numFmtId="0" fontId="0" fillId="0" borderId="11" xfId="0" applyBorder="1" applyAlignment="1">
      <alignment horizontal="center"/>
    </xf>
    <xf numFmtId="0" fontId="0" fillId="0" borderId="2" xfId="0" applyBorder="1" applyAlignment="1">
      <alignment horizontal="center"/>
    </xf>
    <xf numFmtId="164" fontId="5" fillId="0" borderId="1" xfId="0" applyNumberFormat="1" applyFont="1" applyBorder="1" applyAlignment="1">
      <alignment horizontal="center"/>
    </xf>
    <xf numFmtId="164" fontId="5" fillId="0" borderId="10" xfId="0" applyNumberFormat="1" applyFont="1" applyBorder="1" applyAlignment="1">
      <alignment horizontal="center"/>
    </xf>
    <xf numFmtId="164" fontId="5" fillId="0" borderId="5" xfId="0" applyNumberFormat="1" applyFont="1" applyBorder="1" applyAlignment="1">
      <alignment horizontal="center"/>
    </xf>
    <xf numFmtId="0" fontId="36" fillId="0" borderId="0" xfId="0" applyNumberFormat="1" applyFont="1" applyAlignment="1">
      <alignment horizontal="center"/>
    </xf>
    <xf numFmtId="0" fontId="47" fillId="0" borderId="0" xfId="0" applyFont="1" applyAlignment="1">
      <alignment horizontal="left"/>
    </xf>
    <xf numFmtId="0" fontId="18" fillId="0" borderId="0" xfId="0" applyFont="1" applyAlignment="1">
      <alignment horizontal="left"/>
    </xf>
    <xf numFmtId="0" fontId="48" fillId="0" borderId="15" xfId="0" applyFont="1" applyBorder="1" applyAlignment="1">
      <alignment horizontal="center"/>
    </xf>
    <xf numFmtId="0" fontId="49" fillId="0" borderId="15" xfId="0" applyFont="1" applyBorder="1" applyAlignment="1">
      <alignment horizontal="center"/>
    </xf>
    <xf numFmtId="167" fontId="43" fillId="0" borderId="7" xfId="0" applyNumberFormat="1" applyFont="1" applyBorder="1" applyAlignment="1">
      <alignment horizontal="center"/>
    </xf>
    <xf numFmtId="167" fontId="43" fillId="0" borderId="8" xfId="0" applyNumberFormat="1" applyFont="1" applyBorder="1" applyAlignment="1">
      <alignment horizontal="center"/>
    </xf>
    <xf numFmtId="167" fontId="43" fillId="0" borderId="9" xfId="0" applyNumberFormat="1" applyFont="1" applyBorder="1" applyAlignment="1">
      <alignment horizontal="center"/>
    </xf>
    <xf numFmtId="168" fontId="5" fillId="0" borderId="0" xfId="0" applyNumberFormat="1" applyFont="1" applyAlignment="1">
      <alignment horizontal="center"/>
    </xf>
    <xf numFmtId="168" fontId="5" fillId="0" borderId="0" xfId="0" applyNumberFormat="1" applyFont="1" applyAlignment="1">
      <alignment horizontal="right"/>
    </xf>
    <xf numFmtId="168" fontId="5" fillId="0" borderId="0" xfId="0" applyNumberFormat="1" applyFont="1" applyAlignment="1">
      <alignment horizontal="left"/>
    </xf>
    <xf numFmtId="0" fontId="5" fillId="0" borderId="15" xfId="0" applyFont="1" applyBorder="1" applyAlignment="1">
      <alignment horizontal="center"/>
    </xf>
    <xf numFmtId="167" fontId="5" fillId="0" borderId="7" xfId="0" applyNumberFormat="1" applyFont="1" applyBorder="1" applyAlignment="1">
      <alignment horizontal="center"/>
    </xf>
    <xf numFmtId="167" fontId="5" fillId="0" borderId="5" xfId="0" applyNumberFormat="1" applyFont="1" applyBorder="1" applyAlignment="1">
      <alignment horizontal="center"/>
    </xf>
    <xf numFmtId="167" fontId="5" fillId="0" borderId="9" xfId="0" applyNumberFormat="1" applyFont="1" applyBorder="1" applyAlignment="1">
      <alignment horizontal="center"/>
    </xf>
    <xf numFmtId="0" fontId="5" fillId="4" borderId="7" xfId="0" applyFont="1" applyFill="1" applyBorder="1" applyAlignment="1">
      <alignment horizontal="center"/>
    </xf>
    <xf numFmtId="0" fontId="5" fillId="4" borderId="8" xfId="0" applyFont="1" applyFill="1" applyBorder="1" applyAlignment="1">
      <alignment horizontal="center"/>
    </xf>
    <xf numFmtId="0" fontId="5" fillId="4" borderId="9" xfId="0" applyFont="1" applyFill="1" applyBorder="1" applyAlignment="1">
      <alignment horizontal="center"/>
    </xf>
    <xf numFmtId="0" fontId="5" fillId="6" borderId="7" xfId="0" applyFont="1" applyFill="1" applyBorder="1" applyAlignment="1">
      <alignment horizontal="center"/>
    </xf>
    <xf numFmtId="0" fontId="5" fillId="6" borderId="8" xfId="0" applyFont="1" applyFill="1" applyBorder="1" applyAlignment="1">
      <alignment horizontal="center"/>
    </xf>
    <xf numFmtId="0" fontId="5" fillId="6" borderId="9" xfId="0" applyFont="1" applyFill="1" applyBorder="1" applyAlignment="1">
      <alignment horizontal="center"/>
    </xf>
    <xf numFmtId="0" fontId="21" fillId="0" borderId="0" xfId="0" applyNumberFormat="1" applyFont="1" applyAlignment="1">
      <alignment horizontal="center"/>
    </xf>
    <xf numFmtId="0" fontId="49" fillId="0" borderId="15" xfId="0" applyFont="1" applyFill="1" applyBorder="1" applyAlignment="1">
      <alignment horizontal="center"/>
    </xf>
    <xf numFmtId="0" fontId="5" fillId="0" borderId="7" xfId="0" applyFont="1" applyFill="1" applyBorder="1" applyAlignment="1">
      <alignment horizontal="center"/>
    </xf>
    <xf numFmtId="0" fontId="5" fillId="0" borderId="8" xfId="0" applyFont="1" applyFill="1" applyBorder="1" applyAlignment="1">
      <alignment horizontal="center"/>
    </xf>
    <xf numFmtId="0" fontId="5" fillId="0" borderId="9" xfId="0" applyFont="1" applyFill="1" applyBorder="1" applyAlignment="1">
      <alignment horizontal="center"/>
    </xf>
    <xf numFmtId="0" fontId="48" fillId="0" borderId="15" xfId="0" applyFont="1" applyFill="1" applyBorder="1" applyAlignment="1">
      <alignment horizontal="center"/>
    </xf>
    <xf numFmtId="167" fontId="43" fillId="7" borderId="8" xfId="0" applyNumberFormat="1" applyFont="1" applyFill="1" applyBorder="1" applyAlignment="1">
      <alignment horizontal="center"/>
    </xf>
    <xf numFmtId="167" fontId="11" fillId="5" borderId="8" xfId="0" applyNumberFormat="1" applyFont="1" applyFill="1" applyBorder="1" applyAlignment="1">
      <alignment horizontal="center"/>
    </xf>
    <xf numFmtId="167" fontId="11" fillId="0" borderId="8" xfId="0" applyNumberFormat="1" applyFont="1" applyFill="1" applyBorder="1" applyAlignment="1">
      <alignment horizontal="center"/>
    </xf>
    <xf numFmtId="167" fontId="43" fillId="0" borderId="8" xfId="0" applyNumberFormat="1" applyFont="1" applyFill="1" applyBorder="1" applyAlignment="1">
      <alignment horizontal="center"/>
    </xf>
    <xf numFmtId="167" fontId="11" fillId="0" borderId="8" xfId="0" applyNumberFormat="1" applyFont="1" applyBorder="1" applyAlignment="1">
      <alignment horizontal="center"/>
    </xf>
    <xf numFmtId="167" fontId="43" fillId="7" borderId="9" xfId="0" applyNumberFormat="1" applyFont="1" applyFill="1" applyBorder="1" applyAlignment="1">
      <alignment horizontal="center"/>
    </xf>
    <xf numFmtId="167" fontId="11" fillId="5" borderId="9" xfId="0" applyNumberFormat="1" applyFont="1" applyFill="1" applyBorder="1" applyAlignment="1">
      <alignment horizontal="center"/>
    </xf>
    <xf numFmtId="167" fontId="11" fillId="0" borderId="9" xfId="0" applyNumberFormat="1" applyFont="1" applyFill="1" applyBorder="1" applyAlignment="1">
      <alignment horizontal="center"/>
    </xf>
    <xf numFmtId="167" fontId="43" fillId="0" borderId="9" xfId="0" applyNumberFormat="1" applyFont="1" applyFill="1" applyBorder="1" applyAlignment="1">
      <alignment horizontal="center"/>
    </xf>
    <xf numFmtId="167" fontId="11" fillId="0" borderId="9" xfId="0" applyNumberFormat="1" applyFont="1" applyBorder="1" applyAlignment="1">
      <alignment horizontal="center"/>
    </xf>
    <xf numFmtId="0" fontId="5" fillId="5" borderId="7" xfId="0" applyFont="1" applyFill="1" applyBorder="1" applyAlignment="1">
      <alignment horizontal="center"/>
    </xf>
    <xf numFmtId="0" fontId="5" fillId="5" borderId="8" xfId="0" applyFont="1" applyFill="1" applyBorder="1" applyAlignment="1">
      <alignment horizontal="center"/>
    </xf>
    <xf numFmtId="0" fontId="5" fillId="5" borderId="9" xfId="0" applyFont="1" applyFill="1" applyBorder="1" applyAlignment="1">
      <alignment horizontal="center"/>
    </xf>
    <xf numFmtId="0" fontId="0" fillId="0" borderId="0" xfId="0" applyAlignment="1"/>
    <xf numFmtId="2" fontId="9" fillId="0" borderId="0" xfId="0" applyNumberFormat="1" applyFont="1" applyFill="1" applyBorder="1" applyAlignment="1" applyProtection="1">
      <alignment horizontal="left"/>
    </xf>
    <xf numFmtId="0" fontId="0" fillId="0" borderId="0" xfId="0" applyFill="1" applyBorder="1"/>
    <xf numFmtId="2" fontId="5" fillId="0" borderId="0" xfId="0" applyNumberFormat="1" applyFont="1" applyFill="1" applyBorder="1" applyAlignment="1" applyProtection="1">
      <alignment horizontal="left"/>
    </xf>
    <xf numFmtId="2" fontId="11" fillId="0" borderId="0" xfId="0" applyNumberFormat="1" applyFont="1" applyFill="1" applyAlignment="1" applyProtection="1">
      <alignment horizontal="center"/>
      <protection locked="0"/>
    </xf>
    <xf numFmtId="0" fontId="11" fillId="0" borderId="0" xfId="0" applyFont="1" applyFill="1" applyAlignment="1" applyProtection="1">
      <alignment horizontal="center"/>
      <protection locked="0"/>
    </xf>
    <xf numFmtId="49" fontId="5" fillId="0" borderId="0" xfId="0" applyNumberFormat="1" applyFont="1" applyFill="1" applyAlignment="1">
      <alignment horizontal="center"/>
    </xf>
    <xf numFmtId="1" fontId="0" fillId="0" borderId="0" xfId="0" applyNumberFormat="1" applyAlignment="1">
      <alignment horizontal="center"/>
    </xf>
    <xf numFmtId="0" fontId="29" fillId="0" borderId="0" xfId="0" applyFont="1" applyAlignment="1">
      <alignment horizontal="right" vertical="center"/>
    </xf>
    <xf numFmtId="167" fontId="5" fillId="0" borderId="0" xfId="0" applyNumberFormat="1" applyFont="1" applyAlignment="1">
      <alignment horizontal="left"/>
    </xf>
    <xf numFmtId="0" fontId="37" fillId="0" borderId="0" xfId="0" applyFont="1" applyFill="1" applyAlignment="1">
      <alignment vertical="center"/>
    </xf>
    <xf numFmtId="0" fontId="34" fillId="0" borderId="0" xfId="0" applyFont="1" applyFill="1" applyAlignment="1">
      <alignment horizontal="right"/>
    </xf>
    <xf numFmtId="0" fontId="52" fillId="0" borderId="0" xfId="0" applyFont="1" applyAlignment="1">
      <alignment horizontal="right" vertical="center"/>
    </xf>
    <xf numFmtId="0" fontId="43" fillId="0" borderId="0" xfId="0" applyFont="1" applyAlignment="1">
      <alignment horizontal="left"/>
    </xf>
    <xf numFmtId="0" fontId="43" fillId="0" borderId="0" xfId="0" applyNumberFormat="1" applyFont="1" applyAlignment="1">
      <alignment horizontal="center"/>
    </xf>
    <xf numFmtId="1" fontId="43" fillId="0" borderId="0" xfId="0" applyNumberFormat="1" applyFont="1" applyFill="1" applyAlignment="1">
      <alignment horizontal="center" vertical="center"/>
    </xf>
    <xf numFmtId="0" fontId="53" fillId="0" borderId="0" xfId="0" applyNumberFormat="1" applyFont="1" applyAlignment="1">
      <alignment horizontal="center"/>
    </xf>
    <xf numFmtId="1" fontId="52" fillId="0" borderId="0" xfId="0" applyNumberFormat="1" applyFont="1" applyAlignment="1">
      <alignment horizontal="center" vertical="center"/>
    </xf>
    <xf numFmtId="0" fontId="43" fillId="0" borderId="0" xfId="0" applyFont="1" applyAlignment="1">
      <alignment horizontal="center" vertical="center"/>
    </xf>
    <xf numFmtId="167" fontId="5" fillId="0" borderId="0" xfId="0" applyNumberFormat="1" applyFont="1" applyFill="1" applyBorder="1" applyAlignment="1">
      <alignment horizontal="center"/>
    </xf>
    <xf numFmtId="167" fontId="11" fillId="0" borderId="0" xfId="0" applyNumberFormat="1" applyFont="1" applyFill="1" applyBorder="1" applyAlignment="1">
      <alignment horizontal="center"/>
    </xf>
    <xf numFmtId="49" fontId="51" fillId="0" borderId="0" xfId="0" applyNumberFormat="1" applyFont="1" applyFill="1" applyAlignment="1" applyProtection="1">
      <alignment horizontal="center" vertical="center"/>
    </xf>
    <xf numFmtId="0" fontId="2" fillId="0" borderId="0" xfId="0" applyFont="1" applyFill="1" applyProtection="1"/>
    <xf numFmtId="0" fontId="50" fillId="0" borderId="0" xfId="0" applyFont="1" applyFill="1" applyAlignment="1" applyProtection="1">
      <alignment horizontal="left"/>
    </xf>
    <xf numFmtId="0" fontId="4" fillId="0" borderId="0" xfId="0" applyFont="1" applyFill="1" applyProtection="1"/>
    <xf numFmtId="0" fontId="44" fillId="0" borderId="0" xfId="0" applyFont="1" applyFill="1" applyAlignment="1" applyProtection="1">
      <alignment horizontal="left"/>
    </xf>
    <xf numFmtId="0" fontId="44" fillId="0" borderId="0" xfId="0" applyFont="1" applyFill="1"/>
    <xf numFmtId="0" fontId="20" fillId="0" borderId="0" xfId="0" applyFont="1" applyFill="1"/>
    <xf numFmtId="0" fontId="10" fillId="0" borderId="0" xfId="0" applyFont="1" applyFill="1" applyAlignment="1">
      <alignment horizontal="left"/>
    </xf>
    <xf numFmtId="0" fontId="7" fillId="0" borderId="0" xfId="0" applyFont="1" applyFill="1"/>
    <xf numFmtId="0" fontId="17" fillId="0" borderId="0" xfId="0" applyFont="1" applyFill="1" applyAlignment="1" applyProtection="1">
      <alignment horizontal="left"/>
    </xf>
    <xf numFmtId="0" fontId="5" fillId="0" borderId="0" xfId="0" applyFont="1" applyFill="1" applyAlignment="1">
      <alignment horizontal="left"/>
    </xf>
    <xf numFmtId="0" fontId="7" fillId="0" borderId="0" xfId="0" applyFont="1" applyFill="1" applyAlignment="1">
      <alignment horizontal="left"/>
    </xf>
    <xf numFmtId="0" fontId="16" fillId="0" borderId="0" xfId="0" applyFont="1" applyFill="1" applyAlignment="1">
      <alignment horizontal="left" indent="1"/>
    </xf>
    <xf numFmtId="0" fontId="20" fillId="0" borderId="0" xfId="0" applyFont="1" applyFill="1" applyAlignment="1">
      <alignment horizontal="left" indent="1"/>
    </xf>
    <xf numFmtId="0" fontId="54" fillId="0" borderId="0" xfId="0" applyFont="1" applyFill="1" applyAlignment="1">
      <alignment horizontal="center"/>
    </xf>
    <xf numFmtId="0" fontId="31" fillId="0" borderId="0" xfId="0" applyFont="1" applyFill="1" applyAlignment="1">
      <alignment horizontal="right"/>
    </xf>
    <xf numFmtId="0" fontId="54" fillId="0" borderId="0" xfId="0" applyFont="1" applyFill="1" applyAlignment="1">
      <alignment horizontal="left"/>
    </xf>
    <xf numFmtId="0" fontId="56" fillId="0" borderId="0" xfId="0" applyFont="1" applyFill="1" applyBorder="1" applyAlignment="1">
      <alignment horizontal="center"/>
    </xf>
    <xf numFmtId="0" fontId="0" fillId="0" borderId="6" xfId="0" applyFill="1" applyBorder="1" applyAlignment="1">
      <alignment horizontal="center"/>
    </xf>
    <xf numFmtId="0" fontId="0" fillId="0" borderId="11" xfId="0" applyFill="1" applyBorder="1" applyAlignment="1">
      <alignment horizontal="center"/>
    </xf>
    <xf numFmtId="0" fontId="0" fillId="0" borderId="2" xfId="0" applyFill="1" applyBorder="1" applyAlignment="1">
      <alignment horizontal="center"/>
    </xf>
    <xf numFmtId="0" fontId="5" fillId="0" borderId="14" xfId="0" applyFont="1" applyFill="1" applyBorder="1" applyAlignment="1">
      <alignment horizontal="center"/>
    </xf>
    <xf numFmtId="0" fontId="5" fillId="0" borderId="13" xfId="0" applyFont="1" applyFill="1" applyBorder="1" applyAlignment="1">
      <alignment horizontal="center"/>
    </xf>
    <xf numFmtId="166" fontId="28" fillId="0" borderId="0" xfId="0" applyNumberFormat="1" applyFont="1" applyFill="1" applyBorder="1" applyAlignment="1">
      <alignment horizontal="center"/>
    </xf>
    <xf numFmtId="0" fontId="5" fillId="3" borderId="0" xfId="0" applyFont="1" applyFill="1" applyBorder="1" applyAlignment="1">
      <alignment horizontal="right"/>
    </xf>
    <xf numFmtId="0" fontId="7" fillId="3" borderId="0" xfId="0" applyFont="1" applyFill="1" applyBorder="1" applyAlignment="1">
      <alignment horizontal="center"/>
    </xf>
    <xf numFmtId="0" fontId="13" fillId="3" borderId="0" xfId="0" applyFont="1" applyFill="1" applyBorder="1" applyAlignment="1" applyProtection="1">
      <alignment horizontal="left"/>
      <protection locked="0"/>
    </xf>
    <xf numFmtId="167" fontId="13" fillId="3" borderId="0" xfId="0" applyNumberFormat="1" applyFont="1" applyFill="1" applyBorder="1" applyAlignment="1" applyProtection="1">
      <alignment horizontal="left"/>
      <protection locked="0"/>
    </xf>
    <xf numFmtId="0" fontId="7" fillId="3" borderId="0" xfId="0" applyFont="1" applyFill="1" applyBorder="1" applyAlignment="1">
      <alignment horizontal="left"/>
    </xf>
    <xf numFmtId="2" fontId="13" fillId="3" borderId="0" xfId="0" applyNumberFormat="1" applyFont="1" applyFill="1" applyBorder="1" applyAlignment="1" applyProtection="1">
      <alignment horizontal="left"/>
      <protection locked="0"/>
    </xf>
    <xf numFmtId="0" fontId="5" fillId="3" borderId="0" xfId="0" applyFont="1" applyFill="1" applyBorder="1"/>
    <xf numFmtId="0" fontId="7" fillId="3" borderId="0" xfId="0" applyFont="1" applyFill="1" applyBorder="1"/>
    <xf numFmtId="0" fontId="0" fillId="3" borderId="0" xfId="0" applyFill="1" applyBorder="1"/>
    <xf numFmtId="0" fontId="61" fillId="0" borderId="0" xfId="0" applyFont="1" applyFill="1" applyAlignment="1" applyProtection="1">
      <alignment horizontal="left" indent="1"/>
    </xf>
    <xf numFmtId="167" fontId="62" fillId="0" borderId="0" xfId="0" applyNumberFormat="1" applyFont="1" applyFill="1" applyAlignment="1">
      <alignment horizontal="left" indent="1"/>
    </xf>
    <xf numFmtId="0" fontId="63" fillId="0" borderId="0" xfId="0" applyFont="1" applyFill="1" applyAlignment="1">
      <alignment horizontal="left" indent="1"/>
    </xf>
    <xf numFmtId="0" fontId="63" fillId="3" borderId="0" xfId="0" applyFont="1" applyFill="1" applyBorder="1" applyAlignment="1" applyProtection="1">
      <alignment horizontal="left"/>
    </xf>
    <xf numFmtId="166" fontId="64" fillId="3" borderId="0" xfId="0" applyNumberFormat="1" applyFont="1" applyFill="1" applyBorder="1" applyAlignment="1" applyProtection="1">
      <alignment horizontal="left"/>
    </xf>
    <xf numFmtId="0" fontId="66" fillId="3" borderId="0" xfId="0" applyFont="1" applyFill="1" applyBorder="1" applyAlignment="1" applyProtection="1">
      <alignment horizontal="left"/>
    </xf>
    <xf numFmtId="0" fontId="67" fillId="3" borderId="0" xfId="0" applyFont="1" applyFill="1" applyBorder="1" applyAlignment="1" applyProtection="1">
      <alignment horizontal="left"/>
    </xf>
    <xf numFmtId="1" fontId="69" fillId="5" borderId="16" xfId="0" applyNumberFormat="1" applyFont="1" applyFill="1" applyBorder="1" applyAlignment="1" applyProtection="1">
      <alignment horizontal="center" vertical="center"/>
    </xf>
    <xf numFmtId="1" fontId="55" fillId="5" borderId="17" xfId="0" applyNumberFormat="1" applyFont="1" applyFill="1" applyBorder="1" applyAlignment="1" applyProtection="1">
      <alignment horizontal="left" vertical="center"/>
      <protection locked="0"/>
    </xf>
    <xf numFmtId="1" fontId="69" fillId="5" borderId="18" xfId="0" applyNumberFormat="1" applyFont="1" applyFill="1" applyBorder="1" applyAlignment="1" applyProtection="1">
      <alignment horizontal="center"/>
    </xf>
    <xf numFmtId="1" fontId="57" fillId="5" borderId="0" xfId="0" applyNumberFormat="1" applyFont="1" applyFill="1" applyBorder="1" applyAlignment="1" applyProtection="1">
      <alignment horizontal="left"/>
      <protection locked="0"/>
    </xf>
    <xf numFmtId="0" fontId="70" fillId="5" borderId="18" xfId="0" applyFont="1" applyFill="1" applyBorder="1" applyProtection="1"/>
    <xf numFmtId="1" fontId="71" fillId="5" borderId="0" xfId="0" applyNumberFormat="1" applyFont="1" applyFill="1" applyBorder="1" applyProtection="1"/>
    <xf numFmtId="0" fontId="70" fillId="5" borderId="19" xfId="0" applyFont="1" applyFill="1" applyBorder="1" applyProtection="1"/>
    <xf numFmtId="0" fontId="70" fillId="5" borderId="20" xfId="0" applyFont="1" applyFill="1" applyBorder="1" applyProtection="1"/>
    <xf numFmtId="0" fontId="58" fillId="3" borderId="16" xfId="0" applyFont="1" applyFill="1" applyBorder="1" applyAlignment="1">
      <alignment horizontal="center"/>
    </xf>
    <xf numFmtId="0" fontId="7" fillId="3" borderId="17" xfId="0" applyFont="1" applyFill="1" applyBorder="1"/>
    <xf numFmtId="0" fontId="7" fillId="3" borderId="21" xfId="0" applyFont="1" applyFill="1" applyBorder="1"/>
    <xf numFmtId="0" fontId="63" fillId="3" borderId="18" xfId="0" applyFont="1" applyFill="1" applyBorder="1" applyAlignment="1">
      <alignment horizontal="left"/>
    </xf>
    <xf numFmtId="0" fontId="68" fillId="3" borderId="0" xfId="0" applyFont="1" applyFill="1" applyBorder="1"/>
    <xf numFmtId="0" fontId="5" fillId="3" borderId="22" xfId="0" applyFont="1" applyFill="1" applyBorder="1"/>
    <xf numFmtId="0" fontId="7" fillId="3" borderId="18" xfId="0" applyFont="1" applyFill="1" applyBorder="1" applyAlignment="1">
      <alignment horizontal="left"/>
    </xf>
    <xf numFmtId="0" fontId="7" fillId="3" borderId="0" xfId="0" applyFont="1" applyFill="1" applyBorder="1" applyProtection="1">
      <protection locked="0"/>
    </xf>
    <xf numFmtId="0" fontId="0" fillId="3" borderId="22" xfId="0" applyFill="1" applyBorder="1"/>
    <xf numFmtId="0" fontId="58" fillId="3" borderId="18" xfId="0" applyFont="1" applyFill="1" applyBorder="1" applyAlignment="1">
      <alignment horizontal="left"/>
    </xf>
    <xf numFmtId="1" fontId="13" fillId="3" borderId="0" xfId="0" applyNumberFormat="1" applyFont="1" applyFill="1" applyBorder="1" applyAlignment="1" applyProtection="1">
      <alignment horizontal="center"/>
      <protection locked="0"/>
    </xf>
    <xf numFmtId="0" fontId="5" fillId="3" borderId="0" xfId="0" applyFont="1" applyFill="1" applyBorder="1" applyAlignment="1" applyProtection="1">
      <alignment horizontal="left"/>
    </xf>
    <xf numFmtId="167" fontId="5" fillId="3" borderId="0" xfId="0" applyNumberFormat="1" applyFont="1" applyFill="1" applyBorder="1" applyAlignment="1">
      <alignment horizontal="center"/>
    </xf>
    <xf numFmtId="164" fontId="5" fillId="3" borderId="0" xfId="0" applyNumberFormat="1" applyFont="1" applyFill="1" applyBorder="1" applyAlignment="1">
      <alignment horizontal="center"/>
    </xf>
    <xf numFmtId="166" fontId="33" fillId="8" borderId="0" xfId="0" applyNumberFormat="1" applyFont="1" applyFill="1" applyBorder="1" applyAlignment="1">
      <alignment horizontal="center"/>
    </xf>
    <xf numFmtId="0" fontId="5" fillId="3" borderId="18" xfId="0" applyFont="1" applyFill="1" applyBorder="1" applyAlignment="1">
      <alignment horizontal="left"/>
    </xf>
    <xf numFmtId="0" fontId="7" fillId="3" borderId="22" xfId="0" applyFont="1" applyFill="1" applyBorder="1"/>
    <xf numFmtId="0" fontId="0" fillId="3" borderId="0" xfId="0" applyFill="1" applyBorder="1" applyAlignment="1">
      <alignment horizontal="left"/>
    </xf>
    <xf numFmtId="0" fontId="0" fillId="3" borderId="18" xfId="0" applyFill="1" applyBorder="1"/>
    <xf numFmtId="0" fontId="5" fillId="3" borderId="0" xfId="0" applyFont="1" applyFill="1" applyBorder="1" applyAlignment="1">
      <alignment horizontal="right" vertical="center"/>
    </xf>
    <xf numFmtId="49" fontId="41" fillId="3" borderId="0" xfId="0" applyNumberFormat="1" applyFont="1" applyFill="1" applyBorder="1" applyAlignment="1">
      <alignment horizontal="left"/>
    </xf>
    <xf numFmtId="0" fontId="39" fillId="3" borderId="0" xfId="0" applyFont="1" applyFill="1" applyBorder="1"/>
    <xf numFmtId="0" fontId="39" fillId="3" borderId="20" xfId="0" applyFont="1" applyFill="1" applyBorder="1"/>
    <xf numFmtId="0" fontId="0" fillId="3" borderId="20" xfId="0" applyFill="1" applyBorder="1"/>
    <xf numFmtId="0" fontId="0" fillId="3" borderId="23" xfId="0" applyFill="1" applyBorder="1"/>
    <xf numFmtId="1" fontId="6" fillId="5" borderId="17" xfId="0" applyNumberFormat="1" applyFont="1" applyFill="1" applyBorder="1" applyProtection="1"/>
    <xf numFmtId="1" fontId="6" fillId="5" borderId="21" xfId="0" applyNumberFormat="1" applyFont="1" applyFill="1" applyBorder="1" applyProtection="1"/>
    <xf numFmtId="1" fontId="7" fillId="5" borderId="0" xfId="0" applyNumberFormat="1" applyFont="1" applyFill="1" applyBorder="1" applyProtection="1"/>
    <xf numFmtId="0" fontId="2" fillId="5" borderId="0" xfId="0" applyFont="1" applyFill="1" applyBorder="1" applyProtection="1"/>
    <xf numFmtId="1" fontId="3" fillId="5" borderId="0" xfId="0" applyNumberFormat="1" applyFont="1" applyFill="1" applyBorder="1" applyProtection="1"/>
    <xf numFmtId="1" fontId="3" fillId="5" borderId="22" xfId="0" applyNumberFormat="1" applyFont="1" applyFill="1" applyBorder="1" applyProtection="1"/>
    <xf numFmtId="1" fontId="6" fillId="5" borderId="0" xfId="0" applyNumberFormat="1" applyFont="1" applyFill="1" applyBorder="1" applyProtection="1"/>
    <xf numFmtId="1" fontId="57" fillId="5" borderId="24" xfId="0" applyNumberFormat="1" applyFont="1" applyFill="1" applyBorder="1" applyAlignment="1" applyProtection="1">
      <alignment horizontal="centerContinuous"/>
      <protection locked="0"/>
    </xf>
    <xf numFmtId="165" fontId="57" fillId="5" borderId="25" xfId="0" applyNumberFormat="1" applyFont="1" applyFill="1" applyBorder="1" applyAlignment="1" applyProtection="1">
      <alignment horizontal="centerContinuous"/>
      <protection locked="0"/>
    </xf>
    <xf numFmtId="0" fontId="8" fillId="5" borderId="26" xfId="0" applyFont="1" applyFill="1" applyBorder="1" applyAlignment="1" applyProtection="1">
      <alignment horizontal="centerContinuous"/>
    </xf>
    <xf numFmtId="1" fontId="57" fillId="5" borderId="27" xfId="0" applyNumberFormat="1" applyFont="1" applyFill="1" applyBorder="1" applyAlignment="1" applyProtection="1">
      <alignment horizontal="center"/>
      <protection locked="0"/>
    </xf>
    <xf numFmtId="1" fontId="9" fillId="5" borderId="0" xfId="0" applyNumberFormat="1" applyFont="1" applyFill="1" applyBorder="1" applyProtection="1"/>
    <xf numFmtId="1" fontId="6" fillId="5" borderId="0" xfId="0" applyNumberFormat="1" applyFont="1" applyFill="1" applyBorder="1" applyAlignment="1" applyProtection="1">
      <alignment horizontal="right"/>
    </xf>
    <xf numFmtId="1" fontId="22" fillId="5" borderId="20" xfId="0" applyNumberFormat="1" applyFont="1" applyFill="1" applyBorder="1" applyAlignment="1" applyProtection="1">
      <alignment horizontal="left"/>
    </xf>
    <xf numFmtId="1" fontId="57" fillId="5" borderId="28" xfId="0" applyNumberFormat="1" applyFont="1" applyFill="1" applyBorder="1" applyAlignment="1" applyProtection="1">
      <alignment horizontal="centerContinuous"/>
      <protection locked="0"/>
    </xf>
    <xf numFmtId="1" fontId="57" fillId="5" borderId="29" xfId="0" applyNumberFormat="1" applyFont="1" applyFill="1" applyBorder="1" applyAlignment="1" applyProtection="1">
      <alignment horizontal="centerContinuous"/>
      <protection locked="0"/>
    </xf>
    <xf numFmtId="0" fontId="8" fillId="5" borderId="30" xfId="0" applyFont="1" applyFill="1" applyBorder="1" applyAlignment="1" applyProtection="1">
      <alignment horizontal="centerContinuous"/>
    </xf>
    <xf numFmtId="1" fontId="57" fillId="5" borderId="31" xfId="0" applyNumberFormat="1" applyFont="1" applyFill="1" applyBorder="1" applyAlignment="1" applyProtection="1">
      <alignment horizontal="center"/>
      <protection locked="0"/>
    </xf>
    <xf numFmtId="1" fontId="70" fillId="5" borderId="32" xfId="0" applyNumberFormat="1" applyFont="1" applyFill="1" applyBorder="1" applyProtection="1"/>
    <xf numFmtId="1" fontId="70" fillId="5" borderId="33" xfId="0" applyNumberFormat="1" applyFont="1" applyFill="1" applyBorder="1" applyProtection="1"/>
    <xf numFmtId="0" fontId="70" fillId="5" borderId="34" xfId="0" applyFont="1" applyFill="1" applyBorder="1" applyProtection="1"/>
    <xf numFmtId="1" fontId="70" fillId="5" borderId="35" xfId="0" applyNumberFormat="1" applyFont="1" applyFill="1" applyBorder="1" applyProtection="1"/>
    <xf numFmtId="1" fontId="70" fillId="5" borderId="36" xfId="0" applyNumberFormat="1" applyFont="1" applyFill="1" applyBorder="1" applyProtection="1"/>
    <xf numFmtId="1" fontId="70" fillId="5" borderId="37" xfId="0" applyNumberFormat="1" applyFont="1" applyFill="1" applyBorder="1" applyProtection="1"/>
    <xf numFmtId="0" fontId="70" fillId="5" borderId="38" xfId="0" applyFont="1" applyFill="1" applyBorder="1" applyProtection="1"/>
    <xf numFmtId="1" fontId="70" fillId="5" borderId="39" xfId="0" applyNumberFormat="1" applyFont="1" applyFill="1" applyBorder="1" applyProtection="1"/>
    <xf numFmtId="0" fontId="63" fillId="3" borderId="0" xfId="0" applyFont="1" applyFill="1" applyBorder="1" applyAlignment="1">
      <alignment horizontal="right"/>
    </xf>
    <xf numFmtId="0" fontId="62" fillId="3" borderId="0" xfId="0" applyFont="1" applyFill="1" applyBorder="1"/>
    <xf numFmtId="0" fontId="72" fillId="3" borderId="0" xfId="0" applyFont="1" applyFill="1" applyBorder="1"/>
    <xf numFmtId="0" fontId="73" fillId="3" borderId="22" xfId="0" applyFont="1" applyFill="1" applyBorder="1" applyAlignment="1">
      <alignment horizontal="right"/>
    </xf>
    <xf numFmtId="0" fontId="74" fillId="3" borderId="22" xfId="0" applyFont="1" applyFill="1" applyBorder="1"/>
    <xf numFmtId="1" fontId="76" fillId="5" borderId="20" xfId="0" applyNumberFormat="1" applyFont="1" applyFill="1" applyBorder="1" applyProtection="1"/>
    <xf numFmtId="1" fontId="60" fillId="5" borderId="23" xfId="0" applyNumberFormat="1" applyFont="1" applyFill="1" applyBorder="1" applyAlignment="1" applyProtection="1">
      <alignment horizontal="center"/>
    </xf>
    <xf numFmtId="0" fontId="77" fillId="3" borderId="0" xfId="0" applyFont="1" applyFill="1" applyBorder="1" applyAlignment="1">
      <alignment horizontal="left"/>
    </xf>
    <xf numFmtId="0" fontId="63" fillId="2" borderId="0" xfId="0" applyFont="1" applyFill="1" applyBorder="1" applyAlignment="1" applyProtection="1">
      <alignment horizontal="left"/>
    </xf>
    <xf numFmtId="1" fontId="78" fillId="5" borderId="0" xfId="0" applyNumberFormat="1" applyFont="1" applyFill="1" applyBorder="1" applyAlignment="1" applyProtection="1">
      <alignment horizontal="right"/>
    </xf>
    <xf numFmtId="1" fontId="7" fillId="9" borderId="0" xfId="0" applyNumberFormat="1" applyFont="1" applyFill="1" applyBorder="1" applyProtection="1"/>
    <xf numFmtId="0" fontId="2" fillId="9" borderId="0" xfId="0" applyFont="1" applyFill="1" applyBorder="1" applyProtection="1"/>
    <xf numFmtId="1" fontId="9" fillId="9" borderId="0" xfId="0" applyNumberFormat="1" applyFont="1" applyFill="1" applyBorder="1" applyProtection="1"/>
    <xf numFmtId="1" fontId="60" fillId="5" borderId="22" xfId="0" applyNumberFormat="1" applyFont="1" applyFill="1" applyBorder="1" applyAlignment="1" applyProtection="1">
      <alignment horizontal="right"/>
    </xf>
    <xf numFmtId="1" fontId="80" fillId="5" borderId="17" xfId="0" applyNumberFormat="1" applyFont="1" applyFill="1" applyBorder="1" applyAlignment="1" applyProtection="1">
      <alignment horizontal="left" vertical="center"/>
    </xf>
    <xf numFmtId="1" fontId="67" fillId="5" borderId="0" xfId="0" applyNumberFormat="1" applyFont="1" applyFill="1" applyBorder="1" applyAlignment="1" applyProtection="1">
      <alignment horizontal="left"/>
    </xf>
    <xf numFmtId="167" fontId="5" fillId="3" borderId="0" xfId="0" applyNumberFormat="1" applyFont="1" applyFill="1" applyAlignment="1">
      <alignment horizontal="center"/>
    </xf>
    <xf numFmtId="0" fontId="71" fillId="5" borderId="18" xfId="0" applyFont="1" applyFill="1" applyBorder="1" applyProtection="1"/>
    <xf numFmtId="0" fontId="71" fillId="5" borderId="0" xfId="0" applyFont="1" applyFill="1" applyBorder="1" applyProtection="1"/>
    <xf numFmtId="1" fontId="9" fillId="9" borderId="0" xfId="0" applyNumberFormat="1" applyFont="1" applyFill="1" applyBorder="1" applyAlignment="1" applyProtection="1">
      <alignment horizontal="left"/>
    </xf>
    <xf numFmtId="1" fontId="79" fillId="5" borderId="0" xfId="0" applyNumberFormat="1" applyFont="1" applyFill="1" applyBorder="1" applyAlignment="1" applyProtection="1">
      <alignment horizontal="right"/>
    </xf>
    <xf numFmtId="1" fontId="79" fillId="5" borderId="0" xfId="0" applyNumberFormat="1" applyFont="1" applyFill="1" applyBorder="1" applyProtection="1"/>
    <xf numFmtId="1" fontId="60" fillId="5" borderId="22" xfId="0" applyNumberFormat="1" applyFont="1" applyFill="1" applyBorder="1" applyAlignment="1" applyProtection="1">
      <alignment horizontal="center"/>
    </xf>
    <xf numFmtId="1" fontId="57" fillId="5" borderId="40" xfId="0" applyNumberFormat="1" applyFont="1" applyFill="1" applyBorder="1" applyAlignment="1" applyProtection="1">
      <alignment horizontal="centerContinuous"/>
      <protection locked="0"/>
    </xf>
    <xf numFmtId="0" fontId="8" fillId="5" borderId="41" xfId="0" applyFont="1" applyFill="1" applyBorder="1" applyAlignment="1" applyProtection="1">
      <alignment horizontal="centerContinuous"/>
    </xf>
    <xf numFmtId="0" fontId="7" fillId="2" borderId="17" xfId="0" applyFont="1" applyFill="1" applyBorder="1"/>
    <xf numFmtId="0" fontId="5" fillId="2" borderId="0" xfId="0" applyFont="1" applyFill="1" applyBorder="1" applyAlignment="1">
      <alignment horizontal="right"/>
    </xf>
    <xf numFmtId="0" fontId="16" fillId="3" borderId="0" xfId="0" applyFont="1" applyFill="1" applyBorder="1" applyProtection="1">
      <protection locked="0"/>
    </xf>
    <xf numFmtId="0" fontId="14" fillId="0" borderId="0" xfId="0" applyFont="1" applyFill="1" applyProtection="1"/>
    <xf numFmtId="167" fontId="20" fillId="0" borderId="0" xfId="0" applyNumberFormat="1" applyFont="1" applyFill="1"/>
    <xf numFmtId="0" fontId="30" fillId="0" borderId="0" xfId="0" applyFont="1" applyFill="1" applyAlignment="1" applyProtection="1">
      <alignment horizontal="left"/>
    </xf>
    <xf numFmtId="0" fontId="0" fillId="0" borderId="0" xfId="0" applyFill="1" applyBorder="1" applyAlignment="1"/>
    <xf numFmtId="0" fontId="69" fillId="3" borderId="0" xfId="0" applyFont="1" applyFill="1" applyBorder="1" applyAlignment="1">
      <alignment horizontal="right"/>
    </xf>
    <xf numFmtId="0" fontId="69" fillId="3" borderId="0" xfId="0" applyFont="1" applyFill="1" applyBorder="1" applyAlignment="1">
      <alignment horizontal="left"/>
    </xf>
    <xf numFmtId="0" fontId="70" fillId="0" borderId="0" xfId="0" applyFont="1" applyFill="1"/>
    <xf numFmtId="0" fontId="61" fillId="0" borderId="0" xfId="0" applyFont="1" applyFill="1" applyAlignment="1" applyProtection="1">
      <alignment horizontal="left"/>
    </xf>
    <xf numFmtId="0" fontId="70" fillId="0" borderId="0" xfId="0" applyFont="1" applyFill="1" applyAlignment="1">
      <alignment horizontal="left"/>
    </xf>
    <xf numFmtId="0" fontId="62" fillId="0" borderId="0" xfId="0" applyFont="1" applyFill="1" applyAlignment="1" applyProtection="1">
      <alignment horizontal="left"/>
    </xf>
    <xf numFmtId="0" fontId="21" fillId="0" borderId="0" xfId="0" applyFont="1" applyFill="1" applyAlignment="1" applyProtection="1">
      <alignment horizontal="left"/>
    </xf>
    <xf numFmtId="166" fontId="5" fillId="0" borderId="0" xfId="0" applyNumberFormat="1" applyFont="1" applyFill="1" applyBorder="1" applyAlignment="1">
      <alignment horizontal="center"/>
    </xf>
    <xf numFmtId="0" fontId="0" fillId="0" borderId="0" xfId="0" applyNumberFormat="1" applyFill="1" applyAlignment="1">
      <alignment horizontal="left"/>
    </xf>
    <xf numFmtId="0" fontId="20" fillId="0" borderId="0" xfId="0" applyFont="1" applyFill="1" applyAlignment="1">
      <alignment horizontal="right"/>
    </xf>
    <xf numFmtId="1" fontId="20" fillId="0" borderId="0" xfId="0" applyNumberFormat="1" applyFont="1" applyFill="1" applyAlignment="1">
      <alignment horizontal="left"/>
    </xf>
    <xf numFmtId="0" fontId="29" fillId="0" borderId="0" xfId="0" applyFont="1" applyFill="1" applyAlignment="1">
      <alignment horizontal="right"/>
    </xf>
    <xf numFmtId="0" fontId="29" fillId="0" borderId="0" xfId="0" applyFont="1" applyFill="1" applyAlignment="1">
      <alignment horizontal="left"/>
    </xf>
    <xf numFmtId="166" fontId="5" fillId="0" borderId="13" xfId="0" applyNumberFormat="1" applyFont="1" applyFill="1" applyBorder="1" applyAlignment="1">
      <alignment horizontal="center"/>
    </xf>
    <xf numFmtId="166" fontId="5" fillId="0" borderId="11" xfId="0" applyNumberFormat="1" applyFont="1" applyFill="1" applyBorder="1" applyAlignment="1">
      <alignment horizontal="center"/>
    </xf>
    <xf numFmtId="166" fontId="5" fillId="0" borderId="2" xfId="0" applyNumberFormat="1" applyFont="1" applyFill="1" applyBorder="1" applyAlignment="1">
      <alignment horizontal="center"/>
    </xf>
    <xf numFmtId="0" fontId="5" fillId="0" borderId="11" xfId="0" applyFont="1" applyFill="1" applyBorder="1" applyAlignment="1">
      <alignment horizontal="center"/>
    </xf>
    <xf numFmtId="0" fontId="5" fillId="0" borderId="4" xfId="0" applyFont="1" applyFill="1" applyBorder="1" applyAlignment="1">
      <alignment horizontal="center"/>
    </xf>
    <xf numFmtId="0" fontId="5" fillId="0" borderId="2" xfId="0" applyFont="1" applyFill="1" applyBorder="1" applyAlignment="1">
      <alignment horizontal="center"/>
    </xf>
    <xf numFmtId="1" fontId="67" fillId="5" borderId="24" xfId="0" applyNumberFormat="1" applyFont="1" applyFill="1" applyBorder="1" applyAlignment="1" applyProtection="1">
      <alignment horizontal="centerContinuous"/>
    </xf>
    <xf numFmtId="1" fontId="67" fillId="5" borderId="42" xfId="0" applyNumberFormat="1" applyFont="1" applyFill="1" applyBorder="1" applyAlignment="1" applyProtection="1">
      <alignment horizontal="centerContinuous"/>
    </xf>
    <xf numFmtId="1" fontId="67" fillId="5" borderId="43" xfId="0" applyNumberFormat="1" applyFont="1" applyFill="1" applyBorder="1" applyAlignment="1" applyProtection="1">
      <alignment horizontal="center"/>
    </xf>
    <xf numFmtId="0" fontId="82" fillId="0" borderId="0" xfId="0" applyFont="1" applyFill="1" applyAlignment="1" applyProtection="1">
      <alignment horizontal="left"/>
    </xf>
    <xf numFmtId="0" fontId="56" fillId="0" borderId="0" xfId="0" applyFont="1" applyFill="1" applyAlignment="1" applyProtection="1">
      <alignment horizontal="left"/>
    </xf>
    <xf numFmtId="0" fontId="56" fillId="0" borderId="0" xfId="0" applyFont="1" applyFill="1" applyBorder="1" applyAlignment="1">
      <alignment horizontal="center" vertical="top"/>
    </xf>
    <xf numFmtId="0" fontId="56" fillId="0" borderId="0" xfId="0" applyFont="1" applyFill="1"/>
    <xf numFmtId="0" fontId="62" fillId="0" borderId="0" xfId="0" applyFont="1" applyFill="1" applyAlignment="1" applyProtection="1">
      <alignment horizontal="right"/>
    </xf>
    <xf numFmtId="1" fontId="0" fillId="0" borderId="3" xfId="0" applyNumberFormat="1" applyFill="1" applyBorder="1" applyAlignment="1">
      <alignment horizontal="center"/>
    </xf>
    <xf numFmtId="1" fontId="0" fillId="0" borderId="4" xfId="0" applyNumberFormat="1" applyFill="1" applyBorder="1" applyAlignment="1">
      <alignment horizontal="center"/>
    </xf>
    <xf numFmtId="0" fontId="83" fillId="0" borderId="0" xfId="0" applyFont="1" applyFill="1" applyAlignment="1">
      <alignment horizontal="left" vertical="center" indent="1"/>
    </xf>
    <xf numFmtId="0" fontId="5" fillId="0" borderId="0" xfId="0" applyFont="1" applyAlignment="1">
      <alignment horizontal="left" indent="1"/>
    </xf>
    <xf numFmtId="0" fontId="5" fillId="0" borderId="0" xfId="0" applyFont="1" applyFill="1" applyAlignment="1">
      <alignment horizontal="left" indent="1"/>
    </xf>
    <xf numFmtId="0" fontId="18" fillId="3" borderId="6" xfId="0" applyFont="1" applyFill="1" applyBorder="1" applyAlignment="1">
      <alignment horizontal="center"/>
    </xf>
    <xf numFmtId="0" fontId="18" fillId="3" borderId="11" xfId="0" applyFont="1" applyFill="1" applyBorder="1" applyAlignment="1">
      <alignment horizontal="center"/>
    </xf>
    <xf numFmtId="0" fontId="18" fillId="3" borderId="1" xfId="0" applyFont="1" applyFill="1" applyBorder="1" applyAlignment="1">
      <alignment horizontal="center"/>
    </xf>
    <xf numFmtId="0" fontId="18" fillId="3" borderId="4" xfId="0" applyFont="1" applyFill="1" applyBorder="1" applyAlignment="1">
      <alignment horizontal="center"/>
    </xf>
    <xf numFmtId="0" fontId="18" fillId="3" borderId="2" xfId="0" applyFont="1" applyFill="1" applyBorder="1" applyAlignment="1">
      <alignment horizontal="center"/>
    </xf>
    <xf numFmtId="0" fontId="18" fillId="3" borderId="5" xfId="0" applyFont="1" applyFill="1" applyBorder="1" applyAlignment="1">
      <alignment horizontal="center"/>
    </xf>
    <xf numFmtId="167" fontId="5" fillId="3" borderId="11" xfId="0" applyNumberFormat="1" applyFont="1" applyFill="1" applyBorder="1" applyAlignment="1">
      <alignment horizontal="center"/>
    </xf>
    <xf numFmtId="167" fontId="5" fillId="3" borderId="1" xfId="0" applyNumberFormat="1" applyFont="1" applyFill="1" applyBorder="1" applyAlignment="1">
      <alignment horizontal="center"/>
    </xf>
    <xf numFmtId="167" fontId="11" fillId="3" borderId="0" xfId="0" applyNumberFormat="1" applyFont="1" applyFill="1" applyBorder="1" applyAlignment="1">
      <alignment horizontal="center"/>
    </xf>
    <xf numFmtId="167" fontId="11" fillId="3" borderId="10" xfId="0" applyNumberFormat="1" applyFont="1" applyFill="1" applyBorder="1" applyAlignment="1">
      <alignment horizontal="center"/>
    </xf>
    <xf numFmtId="167" fontId="5" fillId="3" borderId="10" xfId="0" applyNumberFormat="1" applyFont="1" applyFill="1" applyBorder="1" applyAlignment="1">
      <alignment horizontal="center"/>
    </xf>
    <xf numFmtId="0" fontId="5" fillId="3" borderId="44" xfId="0" applyFont="1" applyFill="1" applyBorder="1" applyAlignment="1">
      <alignment horizontal="center"/>
    </xf>
    <xf numFmtId="167" fontId="11" fillId="3" borderId="45" xfId="0" applyNumberFormat="1" applyFont="1" applyFill="1" applyBorder="1" applyAlignment="1">
      <alignment horizontal="center"/>
    </xf>
    <xf numFmtId="167" fontId="11" fillId="3" borderId="46" xfId="0" applyNumberFormat="1" applyFont="1" applyFill="1" applyBorder="1" applyAlignment="1">
      <alignment horizontal="center"/>
    </xf>
    <xf numFmtId="167" fontId="43" fillId="3" borderId="0" xfId="0" applyNumberFormat="1" applyFont="1" applyFill="1" applyBorder="1" applyAlignment="1">
      <alignment horizontal="center"/>
    </xf>
    <xf numFmtId="0" fontId="5" fillId="3" borderId="11" xfId="0" applyNumberFormat="1" applyFont="1" applyFill="1" applyBorder="1" applyAlignment="1">
      <alignment horizontal="center"/>
    </xf>
    <xf numFmtId="0" fontId="5" fillId="3" borderId="1" xfId="0" applyNumberFormat="1" applyFont="1" applyFill="1" applyBorder="1" applyAlignment="1">
      <alignment horizontal="center"/>
    </xf>
    <xf numFmtId="0" fontId="5" fillId="3" borderId="6" xfId="0" applyNumberFormat="1" applyFont="1" applyFill="1" applyBorder="1" applyAlignment="1">
      <alignment horizontal="center"/>
    </xf>
    <xf numFmtId="0" fontId="5" fillId="3" borderId="11" xfId="0" applyFont="1" applyFill="1" applyBorder="1"/>
    <xf numFmtId="0" fontId="5" fillId="3" borderId="1" xfId="0" applyFont="1" applyFill="1" applyBorder="1" applyAlignment="1">
      <alignment horizontal="center"/>
    </xf>
    <xf numFmtId="0" fontId="5" fillId="3" borderId="2" xfId="0" applyNumberFormat="1" applyFont="1" applyFill="1" applyBorder="1" applyAlignment="1">
      <alignment horizontal="center"/>
    </xf>
    <xf numFmtId="0" fontId="5" fillId="3" borderId="5" xfId="0" applyNumberFormat="1" applyFont="1" applyFill="1" applyBorder="1" applyAlignment="1">
      <alignment horizontal="center"/>
    </xf>
    <xf numFmtId="0" fontId="5" fillId="3" borderId="4" xfId="0" applyNumberFormat="1" applyFont="1" applyFill="1" applyBorder="1" applyAlignment="1">
      <alignment horizontal="center"/>
    </xf>
    <xf numFmtId="0" fontId="5" fillId="3" borderId="2" xfId="0" applyFont="1" applyFill="1" applyBorder="1"/>
    <xf numFmtId="0" fontId="5" fillId="3" borderId="5" xfId="0" applyFont="1" applyFill="1" applyBorder="1" applyAlignment="1">
      <alignment horizontal="center"/>
    </xf>
    <xf numFmtId="167" fontId="34" fillId="3" borderId="11" xfId="0" applyNumberFormat="1" applyFont="1" applyFill="1" applyBorder="1" applyAlignment="1">
      <alignment horizontal="center"/>
    </xf>
    <xf numFmtId="167" fontId="34" fillId="3" borderId="1" xfId="0" applyNumberFormat="1" applyFont="1" applyFill="1" applyBorder="1" applyAlignment="1">
      <alignment horizontal="center"/>
    </xf>
    <xf numFmtId="167" fontId="34" fillId="3" borderId="0" xfId="0" applyNumberFormat="1" applyFont="1" applyFill="1" applyBorder="1" applyAlignment="1">
      <alignment horizontal="center"/>
    </xf>
    <xf numFmtId="167" fontId="34" fillId="3" borderId="10" xfId="0" applyNumberFormat="1" applyFont="1" applyFill="1" applyBorder="1" applyAlignment="1">
      <alignment horizontal="center"/>
    </xf>
    <xf numFmtId="0" fontId="34" fillId="3" borderId="3" xfId="0" applyFont="1" applyFill="1" applyBorder="1" applyAlignment="1">
      <alignment horizontal="center"/>
    </xf>
    <xf numFmtId="167" fontId="11" fillId="3" borderId="2" xfId="0" applyNumberFormat="1" applyFont="1" applyFill="1" applyBorder="1" applyAlignment="1">
      <alignment horizontal="center"/>
    </xf>
    <xf numFmtId="167" fontId="11" fillId="3" borderId="5" xfId="0" applyNumberFormat="1" applyFont="1" applyFill="1" applyBorder="1" applyAlignment="1">
      <alignment horizontal="center"/>
    </xf>
    <xf numFmtId="0" fontId="11" fillId="3" borderId="0" xfId="0" applyFont="1" applyFill="1" applyBorder="1" applyAlignment="1">
      <alignment horizontal="center"/>
    </xf>
    <xf numFmtId="0" fontId="5" fillId="3" borderId="10" xfId="0" applyFont="1" applyFill="1" applyBorder="1" applyAlignment="1">
      <alignment horizontal="center"/>
    </xf>
    <xf numFmtId="0" fontId="5" fillId="3" borderId="47" xfId="0" applyFont="1" applyFill="1" applyBorder="1" applyAlignment="1">
      <alignment horizontal="center"/>
    </xf>
    <xf numFmtId="167" fontId="5" fillId="3" borderId="47" xfId="0" applyNumberFormat="1" applyFont="1" applyFill="1" applyBorder="1" applyAlignment="1">
      <alignment horizontal="center"/>
    </xf>
    <xf numFmtId="167" fontId="5" fillId="3" borderId="48" xfId="0" applyNumberFormat="1" applyFont="1" applyFill="1" applyBorder="1" applyAlignment="1">
      <alignment horizontal="center"/>
    </xf>
    <xf numFmtId="167" fontId="5" fillId="3" borderId="49" xfId="0" applyNumberFormat="1" applyFont="1" applyFill="1" applyBorder="1" applyAlignment="1">
      <alignment horizontal="center"/>
    </xf>
    <xf numFmtId="167" fontId="11" fillId="3" borderId="4" xfId="0" applyNumberFormat="1" applyFont="1" applyFill="1" applyBorder="1" applyAlignment="1">
      <alignment horizontal="center"/>
    </xf>
    <xf numFmtId="0" fontId="42" fillId="0" borderId="0" xfId="0" applyFont="1" applyFill="1" applyAlignment="1">
      <alignment horizontal="center"/>
    </xf>
    <xf numFmtId="0" fontId="18" fillId="0" borderId="0" xfId="0" applyFont="1" applyFill="1" applyBorder="1" applyAlignment="1">
      <alignment horizontal="center"/>
    </xf>
    <xf numFmtId="0" fontId="34" fillId="0" borderId="0" xfId="0" applyFont="1" applyFill="1" applyAlignment="1">
      <alignment horizontal="center"/>
    </xf>
    <xf numFmtId="167" fontId="34" fillId="0" borderId="6" xfId="0" applyNumberFormat="1" applyFont="1" applyFill="1" applyBorder="1" applyAlignment="1">
      <alignment horizontal="center"/>
    </xf>
    <xf numFmtId="167" fontId="34" fillId="0" borderId="11" xfId="0" applyNumberFormat="1" applyFont="1" applyFill="1" applyBorder="1" applyAlignment="1">
      <alignment horizontal="center"/>
    </xf>
    <xf numFmtId="167" fontId="34" fillId="0" borderId="3" xfId="0" applyNumberFormat="1" applyFont="1" applyFill="1" applyBorder="1" applyAlignment="1">
      <alignment horizontal="center"/>
    </xf>
    <xf numFmtId="167" fontId="34" fillId="0" borderId="0" xfId="0" applyNumberFormat="1" applyFont="1" applyFill="1" applyBorder="1" applyAlignment="1">
      <alignment horizontal="center"/>
    </xf>
    <xf numFmtId="167" fontId="5" fillId="0" borderId="3" xfId="0" applyNumberFormat="1" applyFont="1" applyFill="1" applyBorder="1" applyAlignment="1">
      <alignment horizontal="center"/>
    </xf>
    <xf numFmtId="167" fontId="11" fillId="0" borderId="3" xfId="0" applyNumberFormat="1" applyFont="1" applyFill="1" applyBorder="1" applyAlignment="1">
      <alignment horizontal="center"/>
    </xf>
    <xf numFmtId="0" fontId="83" fillId="0" borderId="0" xfId="0" applyFont="1" applyFill="1"/>
    <xf numFmtId="0" fontId="85" fillId="0" borderId="0" xfId="0" applyFont="1" applyFill="1"/>
    <xf numFmtId="0" fontId="7" fillId="0" borderId="0" xfId="0" applyFont="1" applyFill="1" applyProtection="1"/>
    <xf numFmtId="0" fontId="9" fillId="0" borderId="0" xfId="0" applyFont="1" applyFill="1" applyProtection="1"/>
    <xf numFmtId="0" fontId="5" fillId="0" borderId="0" xfId="0" applyFont="1" applyFill="1" applyProtection="1"/>
    <xf numFmtId="0" fontId="5" fillId="0" borderId="0" xfId="0" applyFont="1" applyAlignment="1"/>
    <xf numFmtId="0" fontId="58" fillId="0" borderId="0" xfId="0" applyFont="1" applyFill="1" applyAlignment="1">
      <alignment horizontal="center"/>
    </xf>
    <xf numFmtId="0" fontId="63" fillId="0" borderId="0" xfId="0" applyFont="1" applyFill="1" applyAlignment="1">
      <alignment horizontal="center"/>
    </xf>
    <xf numFmtId="0" fontId="88" fillId="0" borderId="0" xfId="0" applyFont="1" applyFill="1"/>
    <xf numFmtId="0" fontId="88" fillId="0" borderId="0" xfId="0" applyFont="1" applyFill="1" applyAlignment="1" applyProtection="1">
      <alignment horizontal="left"/>
    </xf>
    <xf numFmtId="0" fontId="36" fillId="0" borderId="0" xfId="0" applyFont="1"/>
    <xf numFmtId="0" fontId="5" fillId="0" borderId="37" xfId="0" applyFont="1" applyFill="1" applyBorder="1" applyAlignment="1" applyProtection="1">
      <alignment horizontal="center"/>
    </xf>
    <xf numFmtId="0" fontId="5" fillId="0" borderId="38" xfId="0" applyFont="1" applyFill="1" applyBorder="1" applyAlignment="1" applyProtection="1">
      <alignment horizontal="left"/>
    </xf>
    <xf numFmtId="0" fontId="5" fillId="0" borderId="38" xfId="0" applyFont="1" applyBorder="1" applyAlignment="1" applyProtection="1"/>
    <xf numFmtId="0" fontId="5" fillId="0" borderId="40" xfId="0" applyFont="1" applyFill="1" applyBorder="1" applyAlignment="1" applyProtection="1">
      <alignment horizontal="center"/>
    </xf>
    <xf numFmtId="0" fontId="5" fillId="0" borderId="41" xfId="0" applyFont="1" applyFill="1" applyBorder="1" applyAlignment="1" applyProtection="1">
      <alignment horizontal="left"/>
    </xf>
    <xf numFmtId="0" fontId="5" fillId="0" borderId="41" xfId="0" applyFont="1" applyBorder="1" applyAlignment="1" applyProtection="1"/>
    <xf numFmtId="0" fontId="5" fillId="0" borderId="25" xfId="0" applyFont="1" applyFill="1" applyBorder="1" applyAlignment="1" applyProtection="1">
      <alignment horizontal="center"/>
    </xf>
    <xf numFmtId="0" fontId="5" fillId="0" borderId="26" xfId="0" applyFont="1" applyFill="1" applyBorder="1" applyAlignment="1" applyProtection="1">
      <alignment horizontal="left"/>
    </xf>
    <xf numFmtId="0" fontId="21" fillId="0" borderId="26" xfId="0" applyFont="1" applyBorder="1" applyAlignment="1" applyProtection="1"/>
    <xf numFmtId="0" fontId="91" fillId="0" borderId="0" xfId="0" applyFont="1" applyFill="1" applyAlignment="1" applyProtection="1">
      <alignment horizontal="left"/>
    </xf>
    <xf numFmtId="0" fontId="92" fillId="0" borderId="0" xfId="0" applyFont="1" applyAlignment="1">
      <alignment horizontal="left" indent="1"/>
    </xf>
    <xf numFmtId="0" fontId="66" fillId="0" borderId="0" xfId="0" applyFont="1" applyAlignment="1">
      <alignment horizontal="left" indent="1"/>
    </xf>
    <xf numFmtId="0" fontId="66" fillId="0" borderId="0" xfId="0" applyFont="1" applyAlignment="1">
      <alignment horizontal="right"/>
    </xf>
    <xf numFmtId="0" fontId="94" fillId="0" borderId="0" xfId="0" applyFont="1" applyFill="1" applyAlignment="1">
      <alignment horizontal="left"/>
    </xf>
    <xf numFmtId="0" fontId="95" fillId="0" borderId="0" xfId="0" applyFont="1" applyFill="1"/>
    <xf numFmtId="0" fontId="92" fillId="0" borderId="0" xfId="0" applyFont="1" applyFill="1" applyBorder="1" applyAlignment="1">
      <alignment horizontal="center"/>
    </xf>
    <xf numFmtId="0" fontId="66" fillId="0" borderId="0" xfId="0" applyFont="1" applyFill="1" applyBorder="1" applyAlignment="1">
      <alignment horizontal="center"/>
    </xf>
    <xf numFmtId="0" fontId="63" fillId="0" borderId="0" xfId="0" applyFont="1" applyAlignment="1">
      <alignment horizontal="right" vertical="center"/>
    </xf>
    <xf numFmtId="0" fontId="66" fillId="0" borderId="0" xfId="0" applyFont="1" applyAlignment="1">
      <alignment horizontal="right" vertical="center"/>
    </xf>
    <xf numFmtId="0" fontId="94" fillId="0" borderId="0" xfId="0" applyFont="1" applyFill="1" applyAlignment="1">
      <alignment horizontal="center"/>
    </xf>
    <xf numFmtId="0" fontId="96" fillId="0" borderId="0" xfId="0" applyFont="1" applyFill="1" applyBorder="1" applyAlignment="1">
      <alignment horizontal="center" wrapText="1"/>
    </xf>
    <xf numFmtId="0" fontId="94" fillId="0" borderId="0" xfId="0" applyFont="1" applyFill="1" applyAlignment="1">
      <alignment horizontal="left" vertical="top"/>
    </xf>
    <xf numFmtId="0" fontId="95" fillId="0" borderId="0" xfId="0" applyFont="1" applyFill="1" applyAlignment="1">
      <alignment vertical="top"/>
    </xf>
    <xf numFmtId="0" fontId="92" fillId="0" borderId="0" xfId="0" applyFont="1" applyFill="1" applyAlignment="1">
      <alignment horizontal="center" vertical="top"/>
    </xf>
    <xf numFmtId="0" fontId="66" fillId="0" borderId="0" xfId="0" applyFont="1" applyFill="1" applyBorder="1" applyAlignment="1">
      <alignment horizontal="center" vertical="top"/>
    </xf>
    <xf numFmtId="2" fontId="58" fillId="10" borderId="16" xfId="0" applyNumberFormat="1" applyFont="1" applyFill="1" applyBorder="1" applyAlignment="1" applyProtection="1">
      <alignment horizontal="left" indent="1"/>
    </xf>
    <xf numFmtId="2" fontId="5" fillId="10" borderId="17" xfId="0" applyNumberFormat="1" applyFont="1" applyFill="1" applyBorder="1" applyAlignment="1" applyProtection="1">
      <alignment horizontal="left"/>
    </xf>
    <xf numFmtId="0" fontId="5" fillId="10" borderId="21" xfId="0" applyFont="1" applyFill="1" applyBorder="1"/>
    <xf numFmtId="0" fontId="86" fillId="10" borderId="18" xfId="0" applyFont="1" applyFill="1" applyBorder="1" applyAlignment="1">
      <alignment horizontal="left" indent="1"/>
    </xf>
    <xf numFmtId="2" fontId="9" fillId="10" borderId="0" xfId="0" applyNumberFormat="1" applyFont="1" applyFill="1" applyBorder="1" applyAlignment="1" applyProtection="1">
      <alignment horizontal="left"/>
    </xf>
    <xf numFmtId="0" fontId="5" fillId="10" borderId="0" xfId="0" applyFont="1" applyFill="1" applyBorder="1"/>
    <xf numFmtId="2" fontId="5" fillId="10" borderId="0" xfId="0" applyNumberFormat="1" applyFont="1" applyFill="1" applyBorder="1" applyAlignment="1" applyProtection="1">
      <alignment horizontal="left"/>
    </xf>
    <xf numFmtId="0" fontId="5" fillId="10" borderId="22" xfId="0" applyFont="1" applyFill="1" applyBorder="1"/>
    <xf numFmtId="2" fontId="71" fillId="10" borderId="19" xfId="0" applyNumberFormat="1" applyFont="1" applyFill="1" applyBorder="1" applyAlignment="1" applyProtection="1">
      <alignment horizontal="left" indent="1"/>
    </xf>
    <xf numFmtId="2" fontId="9" fillId="10" borderId="20" xfId="0" applyNumberFormat="1" applyFont="1" applyFill="1" applyBorder="1" applyAlignment="1" applyProtection="1">
      <alignment horizontal="left"/>
    </xf>
    <xf numFmtId="2" fontId="5" fillId="10" borderId="20" xfId="0" applyNumberFormat="1" applyFont="1" applyFill="1" applyBorder="1" applyAlignment="1" applyProtection="1">
      <alignment horizontal="left"/>
    </xf>
    <xf numFmtId="0" fontId="5" fillId="10" borderId="23" xfId="0" applyFont="1" applyFill="1" applyBorder="1"/>
    <xf numFmtId="0" fontId="65" fillId="3" borderId="0" xfId="0" applyFont="1" applyFill="1" applyBorder="1" applyAlignment="1">
      <alignment horizontal="left"/>
    </xf>
    <xf numFmtId="1" fontId="100" fillId="5" borderId="20" xfId="0" applyNumberFormat="1" applyFont="1" applyFill="1" applyBorder="1" applyAlignment="1" applyProtection="1">
      <alignment horizontal="right" vertical="center"/>
    </xf>
    <xf numFmtId="49" fontId="102" fillId="3" borderId="0" xfId="0" applyNumberFormat="1" applyFont="1" applyFill="1" applyBorder="1" applyAlignment="1">
      <alignment horizontal="right"/>
    </xf>
    <xf numFmtId="0" fontId="20" fillId="3" borderId="0" xfId="0" applyFont="1" applyFill="1" applyBorder="1"/>
    <xf numFmtId="49" fontId="103" fillId="3" borderId="0" xfId="0" applyNumberFormat="1" applyFont="1" applyFill="1" applyBorder="1" applyAlignment="1">
      <alignment horizontal="left"/>
    </xf>
    <xf numFmtId="0" fontId="5" fillId="3" borderId="0" xfId="0" applyFont="1" applyFill="1"/>
    <xf numFmtId="0" fontId="5" fillId="3" borderId="18" xfId="0" applyFont="1" applyFill="1" applyBorder="1"/>
    <xf numFmtId="0" fontId="75" fillId="3" borderId="0" xfId="0" applyFont="1" applyFill="1" applyBorder="1"/>
    <xf numFmtId="0" fontId="26" fillId="3" borderId="0" xfId="0" applyFont="1" applyFill="1" applyBorder="1"/>
    <xf numFmtId="0" fontId="5" fillId="3" borderId="18" xfId="0" applyFont="1" applyFill="1" applyBorder="1" applyAlignment="1">
      <alignment horizontal="right"/>
    </xf>
    <xf numFmtId="167" fontId="0" fillId="0" borderId="0" xfId="0" applyNumberFormat="1" applyAlignment="1">
      <alignment horizontal="left"/>
    </xf>
    <xf numFmtId="0" fontId="105" fillId="3" borderId="18" xfId="0" applyFont="1" applyFill="1" applyBorder="1" applyAlignment="1">
      <alignment horizontal="left" indent="1"/>
    </xf>
    <xf numFmtId="0" fontId="106" fillId="3" borderId="19" xfId="0" applyFont="1" applyFill="1" applyBorder="1" applyAlignment="1">
      <alignment horizontal="left" indent="1"/>
    </xf>
    <xf numFmtId="166" fontId="5" fillId="3" borderId="22" xfId="0" applyNumberFormat="1" applyFont="1" applyFill="1" applyBorder="1" applyAlignment="1" applyProtection="1">
      <alignment horizontal="center" shrinkToFit="1"/>
    </xf>
    <xf numFmtId="0" fontId="107" fillId="0" borderId="0" xfId="0" applyFont="1" applyFill="1" applyAlignment="1" applyProtection="1">
      <alignment horizontal="left" indent="1"/>
    </xf>
    <xf numFmtId="0" fontId="7" fillId="0" borderId="0" xfId="0" applyFont="1" applyFill="1" applyAlignment="1">
      <alignment horizontal="right"/>
    </xf>
    <xf numFmtId="0" fontId="54" fillId="0" borderId="0" xfId="0" applyFont="1" applyFill="1" applyAlignment="1">
      <alignment horizontal="right"/>
    </xf>
    <xf numFmtId="0" fontId="17" fillId="0" borderId="0" xfId="0" applyNumberFormat="1" applyFont="1" applyFill="1" applyAlignment="1" applyProtection="1">
      <alignment horizontal="right"/>
    </xf>
    <xf numFmtId="0" fontId="5" fillId="0" borderId="0" xfId="0" applyNumberFormat="1" applyFont="1" applyFill="1" applyAlignment="1">
      <alignment horizontal="center" vertical="center"/>
    </xf>
    <xf numFmtId="1" fontId="0" fillId="0" borderId="0" xfId="0" applyNumberFormat="1" applyFill="1" applyAlignment="1">
      <alignment horizontal="center" vertical="center"/>
    </xf>
    <xf numFmtId="0" fontId="0" fillId="4" borderId="11" xfId="0" applyFill="1" applyBorder="1" applyAlignment="1">
      <alignment horizontal="center"/>
    </xf>
    <xf numFmtId="0" fontId="0" fillId="4" borderId="0" xfId="0" applyFill="1" applyBorder="1" applyAlignment="1">
      <alignment horizontal="center"/>
    </xf>
    <xf numFmtId="0" fontId="0" fillId="4" borderId="2" xfId="0" applyFill="1" applyBorder="1" applyAlignment="1">
      <alignment horizontal="center"/>
    </xf>
    <xf numFmtId="0" fontId="0" fillId="0" borderId="9" xfId="0" applyBorder="1" applyAlignment="1">
      <alignment horizontal="center"/>
    </xf>
    <xf numFmtId="0" fontId="0" fillId="11" borderId="7" xfId="0" applyFill="1" applyBorder="1" applyAlignment="1">
      <alignment horizontal="center"/>
    </xf>
    <xf numFmtId="0" fontId="0" fillId="11" borderId="8" xfId="0" applyFill="1" applyBorder="1" applyAlignment="1">
      <alignment horizontal="center"/>
    </xf>
    <xf numFmtId="0" fontId="0" fillId="11" borderId="9" xfId="0" applyFill="1" applyBorder="1" applyAlignment="1">
      <alignment horizontal="center"/>
    </xf>
    <xf numFmtId="0" fontId="5" fillId="3" borderId="0" xfId="0" applyFont="1" applyFill="1" applyBorder="1" applyAlignment="1" applyProtection="1">
      <alignment horizontal="right"/>
    </xf>
    <xf numFmtId="0" fontId="63" fillId="0" borderId="7" xfId="0" applyFont="1" applyBorder="1" applyAlignment="1" applyProtection="1">
      <alignment horizontal="center"/>
      <protection locked="0"/>
    </xf>
    <xf numFmtId="0" fontId="0" fillId="6" borderId="7" xfId="0" applyFill="1" applyBorder="1" applyAlignment="1">
      <alignment horizontal="center"/>
    </xf>
    <xf numFmtId="0" fontId="0" fillId="6" borderId="9" xfId="0" applyFill="1" applyBorder="1" applyAlignment="1">
      <alignment horizontal="center"/>
    </xf>
    <xf numFmtId="0" fontId="0" fillId="0" borderId="15" xfId="0" applyBorder="1" applyAlignment="1" applyProtection="1">
      <alignment horizontal="center"/>
      <protection locked="0"/>
    </xf>
    <xf numFmtId="1" fontId="71" fillId="5" borderId="0" xfId="0" applyNumberFormat="1" applyFont="1" applyFill="1" applyBorder="1" applyAlignment="1" applyProtection="1">
      <alignment horizontal="left" vertical="center"/>
    </xf>
    <xf numFmtId="1" fontId="0" fillId="0" borderId="0" xfId="0" applyNumberFormat="1" applyAlignment="1">
      <alignment horizontal="left"/>
    </xf>
    <xf numFmtId="0" fontId="0" fillId="5" borderId="0" xfId="0" applyFill="1" applyBorder="1"/>
    <xf numFmtId="0" fontId="0" fillId="5" borderId="0" xfId="0" applyFill="1" applyBorder="1" applyAlignment="1">
      <alignment horizontal="left"/>
    </xf>
    <xf numFmtId="0" fontId="63" fillId="5" borderId="16" xfId="0" applyFont="1" applyFill="1" applyBorder="1"/>
    <xf numFmtId="0" fontId="0" fillId="5" borderId="17" xfId="0" applyFill="1" applyBorder="1" applyAlignment="1">
      <alignment horizontal="right"/>
    </xf>
    <xf numFmtId="1" fontId="0" fillId="5" borderId="17" xfId="0" applyNumberFormat="1" applyFill="1" applyBorder="1" applyAlignment="1">
      <alignment horizontal="left"/>
    </xf>
    <xf numFmtId="0" fontId="0" fillId="5" borderId="17" xfId="0" applyFill="1" applyBorder="1"/>
    <xf numFmtId="0" fontId="0" fillId="5" borderId="21" xfId="0" applyFill="1" applyBorder="1"/>
    <xf numFmtId="0" fontId="0" fillId="5" borderId="0" xfId="0" applyFill="1" applyBorder="1" applyAlignment="1">
      <alignment horizontal="right"/>
    </xf>
    <xf numFmtId="1" fontId="0" fillId="5" borderId="0" xfId="0" applyNumberFormat="1" applyFill="1" applyBorder="1" applyAlignment="1">
      <alignment horizontal="left"/>
    </xf>
    <xf numFmtId="166" fontId="0" fillId="5" borderId="22" xfId="0" applyNumberFormat="1" applyFill="1" applyBorder="1" applyAlignment="1">
      <alignment horizontal="left"/>
    </xf>
    <xf numFmtId="0" fontId="0" fillId="5" borderId="19" xfId="0" applyFill="1" applyBorder="1"/>
    <xf numFmtId="0" fontId="0" fillId="5" borderId="20" xfId="0" applyFill="1" applyBorder="1" applyAlignment="1">
      <alignment horizontal="right"/>
    </xf>
    <xf numFmtId="1" fontId="0" fillId="5" borderId="20" xfId="0" applyNumberFormat="1" applyFill="1" applyBorder="1" applyAlignment="1">
      <alignment horizontal="left"/>
    </xf>
    <xf numFmtId="0" fontId="0" fillId="5" borderId="20" xfId="0" applyFill="1" applyBorder="1"/>
    <xf numFmtId="166" fontId="0" fillId="5" borderId="23" xfId="0" applyNumberFormat="1" applyFill="1" applyBorder="1" applyAlignment="1">
      <alignment horizontal="left"/>
    </xf>
    <xf numFmtId="166" fontId="5" fillId="3" borderId="0" xfId="0" applyNumberFormat="1" applyFont="1" applyFill="1" applyBorder="1" applyAlignment="1" applyProtection="1">
      <alignment horizontal="center"/>
    </xf>
    <xf numFmtId="166" fontId="0" fillId="5" borderId="17" xfId="0" applyNumberFormat="1" applyFill="1" applyBorder="1" applyAlignment="1">
      <alignment horizontal="left"/>
    </xf>
    <xf numFmtId="166" fontId="0" fillId="5" borderId="0" xfId="0" applyNumberFormat="1" applyFill="1" applyBorder="1" applyAlignment="1">
      <alignment horizontal="left"/>
    </xf>
    <xf numFmtId="0" fontId="0" fillId="5" borderId="22" xfId="0" applyFill="1" applyBorder="1"/>
    <xf numFmtId="0" fontId="67" fillId="5" borderId="18" xfId="0" applyFont="1" applyFill="1" applyBorder="1" applyAlignment="1">
      <alignment horizontal="right"/>
    </xf>
    <xf numFmtId="0" fontId="5" fillId="3" borderId="0" xfId="0" applyFont="1" applyFill="1" applyBorder="1" applyAlignment="1">
      <alignment horizontal="left" vertical="top"/>
    </xf>
    <xf numFmtId="0" fontId="67" fillId="5" borderId="19" xfId="0" applyFont="1" applyFill="1" applyBorder="1" applyAlignment="1">
      <alignment horizontal="right"/>
    </xf>
    <xf numFmtId="166" fontId="0" fillId="5" borderId="20" xfId="0" applyNumberFormat="1" applyFill="1" applyBorder="1" applyAlignment="1">
      <alignment horizontal="left"/>
    </xf>
    <xf numFmtId="0" fontId="0" fillId="5" borderId="20" xfId="0" applyFill="1" applyBorder="1" applyAlignment="1">
      <alignment horizontal="left"/>
    </xf>
    <xf numFmtId="0" fontId="0" fillId="0" borderId="0" xfId="0" applyAlignment="1">
      <alignment horizontal="left" indent="1"/>
    </xf>
    <xf numFmtId="0" fontId="0" fillId="5" borderId="23" xfId="0" applyFill="1" applyBorder="1"/>
    <xf numFmtId="0" fontId="5" fillId="3" borderId="0" xfId="0" applyFont="1" applyFill="1" applyBorder="1" applyAlignment="1">
      <alignment horizontal="left" indent="3"/>
    </xf>
    <xf numFmtId="0" fontId="5" fillId="0" borderId="6" xfId="0" applyFont="1" applyBorder="1" applyAlignment="1">
      <alignment horizontal="center"/>
    </xf>
    <xf numFmtId="0" fontId="5" fillId="0" borderId="3" xfId="0" applyFont="1" applyBorder="1" applyAlignment="1">
      <alignment horizontal="center"/>
    </xf>
    <xf numFmtId="0" fontId="5" fillId="0" borderId="4" xfId="0" applyFont="1" applyBorder="1" applyAlignment="1">
      <alignment horizontal="center"/>
    </xf>
    <xf numFmtId="166" fontId="5" fillId="3" borderId="0" xfId="0" applyNumberFormat="1" applyFont="1" applyFill="1" applyBorder="1" applyAlignment="1" applyProtection="1">
      <alignment horizontal="left"/>
    </xf>
    <xf numFmtId="0" fontId="0" fillId="5" borderId="18" xfId="0" applyFill="1" applyBorder="1" applyAlignment="1">
      <alignment horizontal="right"/>
    </xf>
    <xf numFmtId="0" fontId="0" fillId="5" borderId="0" xfId="0" applyFill="1" applyBorder="1" applyAlignment="1">
      <alignment horizontal="center"/>
    </xf>
    <xf numFmtId="1" fontId="0" fillId="5" borderId="0" xfId="0" applyNumberFormat="1" applyFill="1" applyBorder="1" applyAlignment="1">
      <alignment horizontal="center"/>
    </xf>
    <xf numFmtId="0" fontId="0" fillId="5" borderId="22" xfId="0" applyFill="1" applyBorder="1" applyAlignment="1">
      <alignment horizontal="center"/>
    </xf>
    <xf numFmtId="1" fontId="0" fillId="5" borderId="14" xfId="0" applyNumberFormat="1" applyFill="1" applyBorder="1" applyAlignment="1">
      <alignment horizontal="center"/>
    </xf>
    <xf numFmtId="1" fontId="0" fillId="5" borderId="22" xfId="0" applyNumberFormat="1" applyFill="1" applyBorder="1" applyAlignment="1">
      <alignment horizontal="center"/>
    </xf>
    <xf numFmtId="1" fontId="0" fillId="5" borderId="50" xfId="0" applyNumberFormat="1" applyFill="1" applyBorder="1" applyAlignment="1">
      <alignment horizontal="center"/>
    </xf>
    <xf numFmtId="0" fontId="112" fillId="5" borderId="18" xfId="0" applyFont="1" applyFill="1" applyBorder="1" applyAlignment="1">
      <alignment horizontal="left" indent="2"/>
    </xf>
    <xf numFmtId="0" fontId="112" fillId="5" borderId="0" xfId="0" applyFont="1" applyFill="1" applyBorder="1" applyAlignment="1">
      <alignment horizontal="left" indent="2"/>
    </xf>
    <xf numFmtId="0" fontId="0" fillId="5" borderId="0" xfId="0" applyFill="1"/>
    <xf numFmtId="0" fontId="26" fillId="5" borderId="18" xfId="0" applyFont="1" applyFill="1" applyBorder="1" applyAlignment="1">
      <alignment horizontal="right"/>
    </xf>
    <xf numFmtId="0" fontId="26" fillId="5" borderId="0" xfId="0" applyFont="1" applyFill="1" applyBorder="1" applyAlignment="1">
      <alignment horizontal="right"/>
    </xf>
    <xf numFmtId="0" fontId="0" fillId="5" borderId="0" xfId="0" applyFill="1" applyAlignment="1">
      <alignment horizontal="left"/>
    </xf>
    <xf numFmtId="1" fontId="0" fillId="5" borderId="17" xfId="0" applyNumberFormat="1" applyFill="1" applyBorder="1" applyAlignment="1">
      <alignment horizontal="center"/>
    </xf>
    <xf numFmtId="0" fontId="0" fillId="5" borderId="21" xfId="0" applyFill="1" applyBorder="1" applyAlignment="1">
      <alignment horizontal="center"/>
    </xf>
    <xf numFmtId="0" fontId="111" fillId="3" borderId="0" xfId="0" applyFont="1" applyFill="1" applyBorder="1" applyAlignment="1">
      <alignment horizontal="left"/>
    </xf>
    <xf numFmtId="167" fontId="11" fillId="0" borderId="0" xfId="0" applyNumberFormat="1" applyFont="1" applyFill="1" applyAlignment="1" applyProtection="1">
      <alignment horizontal="center"/>
      <protection locked="0"/>
    </xf>
    <xf numFmtId="0" fontId="114" fillId="0" borderId="0" xfId="0" applyFont="1" applyFill="1"/>
    <xf numFmtId="0" fontId="115" fillId="0" borderId="0" xfId="0" applyFont="1" applyFill="1" applyAlignment="1">
      <alignment horizontal="center"/>
    </xf>
    <xf numFmtId="0" fontId="115" fillId="0" borderId="0" xfId="0" applyFont="1" applyAlignment="1">
      <alignment horizontal="center"/>
    </xf>
    <xf numFmtId="0" fontId="114" fillId="0" borderId="0" xfId="0" applyFont="1"/>
    <xf numFmtId="0" fontId="116" fillId="0" borderId="0" xfId="0" applyFont="1" applyFill="1"/>
    <xf numFmtId="0" fontId="117" fillId="0" borderId="0" xfId="0" applyFont="1" applyFill="1"/>
    <xf numFmtId="0" fontId="118" fillId="0" borderId="0" xfId="0" applyNumberFormat="1" applyFont="1" applyFill="1" applyAlignment="1">
      <alignment horizontal="center"/>
    </xf>
    <xf numFmtId="2" fontId="118" fillId="0" borderId="0" xfId="0" applyNumberFormat="1" applyFont="1" applyFill="1" applyAlignment="1">
      <alignment horizontal="center"/>
    </xf>
    <xf numFmtId="166" fontId="118" fillId="0" borderId="0" xfId="0" applyNumberFormat="1" applyFont="1" applyAlignment="1">
      <alignment horizontal="center"/>
    </xf>
    <xf numFmtId="2" fontId="118" fillId="0" borderId="0" xfId="0" applyNumberFormat="1" applyFont="1" applyAlignment="1">
      <alignment horizontal="center"/>
    </xf>
    <xf numFmtId="0" fontId="118" fillId="0" borderId="0" xfId="0" applyNumberFormat="1" applyFont="1" applyAlignment="1">
      <alignment horizontal="center"/>
    </xf>
    <xf numFmtId="0" fontId="115" fillId="0" borderId="0" xfId="0" applyNumberFormat="1" applyFont="1" applyFill="1" applyAlignment="1">
      <alignment horizontal="center"/>
    </xf>
    <xf numFmtId="0" fontId="115" fillId="0" borderId="0" xfId="0" applyNumberFormat="1" applyFont="1" applyAlignment="1">
      <alignment horizontal="center"/>
    </xf>
    <xf numFmtId="2" fontId="115" fillId="0" borderId="0" xfId="0" applyNumberFormat="1" applyFont="1" applyAlignment="1">
      <alignment horizontal="center"/>
    </xf>
    <xf numFmtId="167" fontId="115" fillId="0" borderId="0" xfId="0" applyNumberFormat="1" applyFont="1" applyAlignment="1">
      <alignment horizontal="center"/>
    </xf>
    <xf numFmtId="0" fontId="120" fillId="0" borderId="0" xfId="0" applyFont="1" applyFill="1"/>
    <xf numFmtId="0" fontId="119" fillId="0" borderId="0" xfId="0" applyFont="1" applyFill="1"/>
    <xf numFmtId="0" fontId="122" fillId="0" borderId="0" xfId="0" applyFont="1" applyFill="1" applyAlignment="1">
      <alignment horizontal="center" vertical="top" wrapText="1"/>
    </xf>
    <xf numFmtId="0" fontId="116" fillId="5" borderId="51" xfId="0" applyFont="1" applyFill="1" applyBorder="1" applyAlignment="1">
      <alignment horizontal="center" vertical="center"/>
    </xf>
    <xf numFmtId="0" fontId="116" fillId="9" borderId="52" xfId="0" applyFont="1" applyFill="1" applyBorder="1" applyAlignment="1">
      <alignment horizontal="center" vertical="center"/>
    </xf>
    <xf numFmtId="0" fontId="116" fillId="5" borderId="52" xfId="0" applyFont="1" applyFill="1" applyBorder="1" applyAlignment="1">
      <alignment horizontal="center" vertical="center"/>
    </xf>
    <xf numFmtId="0" fontId="116" fillId="5" borderId="53" xfId="0" applyFont="1" applyFill="1" applyBorder="1" applyAlignment="1">
      <alignment horizontal="center" vertical="center"/>
    </xf>
    <xf numFmtId="15" fontId="117" fillId="12" borderId="54" xfId="0" applyNumberFormat="1" applyFont="1" applyFill="1" applyBorder="1" applyAlignment="1">
      <alignment horizontal="center" vertical="center"/>
    </xf>
    <xf numFmtId="167" fontId="117" fillId="13" borderId="55" xfId="0" applyNumberFormat="1" applyFont="1" applyFill="1" applyBorder="1" applyAlignment="1">
      <alignment horizontal="center" vertical="center"/>
    </xf>
    <xf numFmtId="0" fontId="117" fillId="12" borderId="56" xfId="0" applyFont="1" applyFill="1" applyBorder="1" applyAlignment="1">
      <alignment horizontal="center" vertical="center"/>
    </xf>
    <xf numFmtId="15" fontId="117" fillId="12" borderId="24" xfId="0" applyNumberFormat="1" applyFont="1" applyFill="1" applyBorder="1" applyAlignment="1">
      <alignment horizontal="center" vertical="center"/>
    </xf>
    <xf numFmtId="167" fontId="117" fillId="13" borderId="57" xfId="0" applyNumberFormat="1" applyFont="1" applyFill="1" applyBorder="1" applyAlignment="1">
      <alignment horizontal="center" vertical="center"/>
    </xf>
    <xf numFmtId="0" fontId="117" fillId="12" borderId="57" xfId="0" applyFont="1" applyFill="1" applyBorder="1" applyAlignment="1">
      <alignment horizontal="center" vertical="center" wrapText="1"/>
    </xf>
    <xf numFmtId="0" fontId="117" fillId="12" borderId="27" xfId="0" applyFont="1" applyFill="1" applyBorder="1" applyAlignment="1">
      <alignment horizontal="center" vertical="center"/>
    </xf>
    <xf numFmtId="15" fontId="117" fillId="12" borderId="58" xfId="0" applyNumberFormat="1" applyFont="1" applyFill="1" applyBorder="1" applyAlignment="1">
      <alignment horizontal="center" vertical="center"/>
    </xf>
    <xf numFmtId="167" fontId="117" fillId="13" borderId="59" xfId="0" applyNumberFormat="1" applyFont="1" applyFill="1" applyBorder="1" applyAlignment="1">
      <alignment horizontal="center" vertical="center"/>
    </xf>
    <xf numFmtId="0" fontId="117" fillId="12" borderId="59" xfId="0" applyFont="1" applyFill="1" applyBorder="1" applyAlignment="1">
      <alignment horizontal="center" vertical="center" wrapText="1"/>
    </xf>
    <xf numFmtId="0" fontId="117" fillId="12" borderId="60" xfId="0" applyFont="1" applyFill="1" applyBorder="1" applyAlignment="1">
      <alignment horizontal="center" vertical="center"/>
    </xf>
    <xf numFmtId="15" fontId="117" fillId="12" borderId="61" xfId="0" applyNumberFormat="1" applyFont="1" applyFill="1" applyBorder="1" applyAlignment="1">
      <alignment horizontal="center" vertical="center"/>
    </xf>
    <xf numFmtId="167" fontId="117" fillId="13" borderId="62" xfId="0" applyNumberFormat="1" applyFont="1" applyFill="1" applyBorder="1" applyAlignment="1">
      <alignment horizontal="center" vertical="center"/>
    </xf>
    <xf numFmtId="0" fontId="117" fillId="12" borderId="62" xfId="0" applyFont="1" applyFill="1" applyBorder="1" applyAlignment="1">
      <alignment horizontal="center" vertical="center" wrapText="1"/>
    </xf>
    <xf numFmtId="0" fontId="117" fillId="12" borderId="63" xfId="0" applyFont="1" applyFill="1" applyBorder="1" applyAlignment="1">
      <alignment horizontal="center" vertical="center"/>
    </xf>
    <xf numFmtId="0" fontId="115" fillId="0" borderId="0" xfId="0" applyFont="1" applyFill="1"/>
    <xf numFmtId="49" fontId="127" fillId="0" borderId="0" xfId="0" applyNumberFormat="1" applyFont="1" applyFill="1"/>
    <xf numFmtId="0" fontId="19" fillId="0" borderId="0" xfId="0" applyFont="1" applyFill="1" applyAlignment="1">
      <alignment horizontal="center"/>
    </xf>
    <xf numFmtId="0" fontId="5" fillId="0" borderId="11" xfId="0" applyFont="1" applyBorder="1" applyAlignment="1">
      <alignment horizontal="center"/>
    </xf>
    <xf numFmtId="0" fontId="5" fillId="0" borderId="10" xfId="0" applyFont="1" applyBorder="1" applyAlignment="1">
      <alignment horizontal="center"/>
    </xf>
    <xf numFmtId="0" fontId="0" fillId="0" borderId="10" xfId="0" applyBorder="1" applyAlignment="1">
      <alignment horizontal="center"/>
    </xf>
    <xf numFmtId="166" fontId="129" fillId="0" borderId="0" xfId="0" applyNumberFormat="1" applyFont="1" applyAlignment="1">
      <alignment horizontal="left"/>
    </xf>
    <xf numFmtId="164" fontId="129" fillId="0" borderId="0" xfId="0" applyNumberFormat="1" applyFont="1" applyAlignment="1">
      <alignment horizontal="left"/>
    </xf>
    <xf numFmtId="0" fontId="130" fillId="0" borderId="0" xfId="0" applyFont="1" applyAlignment="1">
      <alignment vertical="center"/>
    </xf>
    <xf numFmtId="0" fontId="132" fillId="0" borderId="0" xfId="0" applyFont="1" applyFill="1" applyAlignment="1" applyProtection="1">
      <alignment horizontal="left" indent="1"/>
    </xf>
    <xf numFmtId="0" fontId="133" fillId="0" borderId="18" xfId="0" applyFont="1" applyFill="1" applyBorder="1" applyAlignment="1" applyProtection="1">
      <alignment vertical="center"/>
    </xf>
    <xf numFmtId="0" fontId="58" fillId="0" borderId="0" xfId="0" applyFont="1"/>
    <xf numFmtId="0" fontId="94" fillId="0" borderId="0" xfId="0" applyFont="1" applyFill="1" applyAlignment="1">
      <alignment horizontal="left" indent="1"/>
    </xf>
    <xf numFmtId="0" fontId="134" fillId="0" borderId="18" xfId="0" applyFont="1" applyFill="1" applyBorder="1" applyAlignment="1">
      <alignment vertical="center"/>
    </xf>
    <xf numFmtId="0" fontId="20" fillId="0" borderId="18" xfId="0" applyFont="1" applyFill="1" applyBorder="1" applyAlignment="1">
      <alignment vertical="top"/>
    </xf>
    <xf numFmtId="0" fontId="0" fillId="0" borderId="18" xfId="0" applyFill="1" applyBorder="1" applyAlignment="1">
      <alignment vertical="top"/>
    </xf>
    <xf numFmtId="0" fontId="0" fillId="0" borderId="18" xfId="0" applyFill="1" applyBorder="1" applyAlignment="1"/>
    <xf numFmtId="0" fontId="0" fillId="0" borderId="0" xfId="0" applyFill="1" applyAlignment="1"/>
    <xf numFmtId="0" fontId="135" fillId="14" borderId="0" xfId="0" applyFont="1" applyFill="1" applyAlignment="1" applyProtection="1">
      <alignment vertical="center"/>
    </xf>
    <xf numFmtId="0" fontId="135" fillId="14" borderId="22" xfId="0" applyFont="1" applyFill="1" applyBorder="1" applyAlignment="1" applyProtection="1">
      <alignment vertical="center"/>
    </xf>
    <xf numFmtId="0" fontId="66" fillId="3" borderId="18" xfId="0" applyFont="1" applyFill="1" applyBorder="1" applyAlignment="1">
      <alignment horizontal="right" shrinkToFit="1"/>
    </xf>
    <xf numFmtId="0" fontId="0" fillId="0" borderId="0" xfId="0" applyFont="1" applyAlignment="1">
      <alignment horizontal="right" vertical="center"/>
    </xf>
    <xf numFmtId="0" fontId="5" fillId="2" borderId="0" xfId="0" applyFont="1" applyFill="1" applyBorder="1"/>
    <xf numFmtId="0" fontId="137" fillId="3" borderId="19" xfId="0" applyFont="1" applyFill="1" applyBorder="1" applyAlignment="1">
      <alignment horizontal="left" indent="1"/>
    </xf>
    <xf numFmtId="0" fontId="137" fillId="3" borderId="18" xfId="0" applyFont="1" applyFill="1" applyBorder="1" applyAlignment="1">
      <alignment horizontal="left" indent="1"/>
    </xf>
    <xf numFmtId="0" fontId="0" fillId="5" borderId="69" xfId="0" applyFill="1" applyBorder="1" applyAlignment="1">
      <alignment horizontal="right"/>
    </xf>
    <xf numFmtId="164" fontId="5" fillId="0" borderId="0" xfId="0" applyNumberFormat="1" applyFont="1" applyAlignment="1">
      <alignment horizontal="left" shrinkToFit="1"/>
    </xf>
    <xf numFmtId="0" fontId="0" fillId="0" borderId="6" xfId="0" applyNumberFormat="1" applyBorder="1" applyAlignment="1">
      <alignment horizontal="center" vertical="center"/>
    </xf>
    <xf numFmtId="0" fontId="0" fillId="0" borderId="11" xfId="0" applyNumberFormat="1" applyBorder="1" applyAlignment="1">
      <alignment horizontal="center" vertical="center"/>
    </xf>
    <xf numFmtId="0" fontId="0" fillId="0" borderId="1" xfId="0" applyNumberFormat="1" applyBorder="1" applyAlignment="1">
      <alignment horizontal="center" vertical="center"/>
    </xf>
    <xf numFmtId="0" fontId="0" fillId="0" borderId="3" xfId="0" applyNumberFormat="1" applyBorder="1" applyAlignment="1">
      <alignment horizontal="center" vertical="center"/>
    </xf>
    <xf numFmtId="0" fontId="0" fillId="0" borderId="0" xfId="0" applyNumberFormat="1" applyBorder="1" applyAlignment="1">
      <alignment horizontal="center" vertical="center"/>
    </xf>
    <xf numFmtId="0" fontId="0" fillId="0" borderId="10" xfId="0" applyNumberFormat="1" applyBorder="1" applyAlignment="1">
      <alignment horizontal="center" vertical="center"/>
    </xf>
    <xf numFmtId="0" fontId="0" fillId="0" borderId="4" xfId="0" applyNumberFormat="1" applyBorder="1" applyAlignment="1">
      <alignment horizontal="center" vertical="center"/>
    </xf>
    <xf numFmtId="0" fontId="0" fillId="0" borderId="2" xfId="0" applyNumberFormat="1" applyBorder="1" applyAlignment="1">
      <alignment horizontal="center" vertical="center"/>
    </xf>
    <xf numFmtId="0" fontId="0" fillId="0" borderId="5" xfId="0" applyNumberFormat="1" applyBorder="1" applyAlignment="1">
      <alignment horizontal="center" vertical="center"/>
    </xf>
    <xf numFmtId="166" fontId="0" fillId="0" borderId="12" xfId="0" applyNumberFormat="1" applyBorder="1" applyAlignment="1">
      <alignment horizontal="center" vertical="center"/>
    </xf>
    <xf numFmtId="0" fontId="0" fillId="0" borderId="14" xfId="0" applyBorder="1" applyAlignment="1">
      <alignment horizontal="center" vertical="center"/>
    </xf>
    <xf numFmtId="166" fontId="0" fillId="0" borderId="14" xfId="0" applyNumberFormat="1" applyBorder="1" applyAlignment="1">
      <alignment horizontal="center" vertical="center"/>
    </xf>
    <xf numFmtId="0" fontId="58" fillId="0" borderId="15" xfId="0" applyFont="1" applyBorder="1" applyAlignment="1">
      <alignment horizontal="center" vertical="center"/>
    </xf>
    <xf numFmtId="0" fontId="5" fillId="0" borderId="6" xfId="0" applyFont="1" applyBorder="1" applyAlignment="1">
      <alignment horizontal="center" vertical="center"/>
    </xf>
    <xf numFmtId="0" fontId="5" fillId="0" borderId="1" xfId="0" applyFont="1" applyBorder="1" applyAlignment="1">
      <alignment horizontal="center" vertical="center"/>
    </xf>
    <xf numFmtId="166" fontId="5" fillId="0" borderId="3" xfId="0" applyNumberFormat="1" applyFont="1" applyBorder="1" applyAlignment="1">
      <alignment horizontal="center" vertical="center"/>
    </xf>
    <xf numFmtId="166" fontId="5" fillId="0" borderId="10" xfId="0" applyNumberFormat="1" applyFont="1" applyBorder="1" applyAlignment="1">
      <alignment horizontal="center" vertical="center"/>
    </xf>
    <xf numFmtId="166" fontId="5" fillId="0" borderId="4" xfId="0" applyNumberFormat="1" applyFont="1" applyBorder="1" applyAlignment="1">
      <alignment horizontal="center" vertical="center"/>
    </xf>
    <xf numFmtId="166" fontId="5" fillId="0" borderId="5" xfId="0" applyNumberFormat="1" applyFont="1" applyBorder="1" applyAlignment="1">
      <alignment horizontal="center" vertical="center"/>
    </xf>
    <xf numFmtId="0" fontId="5" fillId="15" borderId="7" xfId="0" applyFont="1" applyFill="1" applyBorder="1" applyAlignment="1">
      <alignment horizontal="center"/>
    </xf>
    <xf numFmtId="0" fontId="5" fillId="15" borderId="8" xfId="0" applyFont="1" applyFill="1" applyBorder="1" applyAlignment="1">
      <alignment horizontal="center"/>
    </xf>
    <xf numFmtId="0" fontId="5" fillId="15" borderId="9" xfId="0" applyFont="1" applyFill="1" applyBorder="1" applyAlignment="1">
      <alignment horizontal="center"/>
    </xf>
    <xf numFmtId="0" fontId="0" fillId="0" borderId="0" xfId="0" applyAlignment="1">
      <alignment horizontal="left" vertical="center"/>
    </xf>
    <xf numFmtId="166" fontId="0" fillId="0" borderId="13" xfId="0" applyNumberFormat="1" applyBorder="1" applyAlignment="1">
      <alignment horizontal="center" vertical="center"/>
    </xf>
    <xf numFmtId="0" fontId="29" fillId="0" borderId="0" xfId="0" applyFont="1" applyAlignment="1">
      <alignment horizontal="center"/>
    </xf>
    <xf numFmtId="166" fontId="0" fillId="0" borderId="0" xfId="0" applyNumberFormat="1" applyAlignment="1">
      <alignment horizontal="center"/>
    </xf>
    <xf numFmtId="0" fontId="140" fillId="0" borderId="0" xfId="0" applyFont="1" applyAlignment="1">
      <alignment horizontal="center"/>
    </xf>
    <xf numFmtId="166" fontId="0" fillId="0" borderId="6" xfId="0" applyNumberFormat="1" applyBorder="1" applyAlignment="1">
      <alignment horizontal="center" vertical="center"/>
    </xf>
    <xf numFmtId="166" fontId="0" fillId="0" borderId="11" xfId="0" applyNumberFormat="1" applyBorder="1" applyAlignment="1">
      <alignment horizontal="center" vertical="center"/>
    </xf>
    <xf numFmtId="166" fontId="0" fillId="0" borderId="1" xfId="0" applyNumberFormat="1" applyBorder="1" applyAlignment="1">
      <alignment horizontal="center" vertical="center"/>
    </xf>
    <xf numFmtId="166" fontId="0" fillId="0" borderId="4" xfId="0" applyNumberFormat="1" applyBorder="1" applyAlignment="1">
      <alignment horizontal="center" vertical="center"/>
    </xf>
    <xf numFmtId="166" fontId="0" fillId="0" borderId="2" xfId="0" applyNumberFormat="1" applyBorder="1" applyAlignment="1">
      <alignment horizontal="center" vertical="center"/>
    </xf>
    <xf numFmtId="166" fontId="0" fillId="0" borderId="5" xfId="0" applyNumberFormat="1" applyBorder="1" applyAlignment="1">
      <alignment horizontal="center" vertical="center"/>
    </xf>
    <xf numFmtId="166" fontId="0" fillId="0" borderId="0" xfId="0" applyNumberFormat="1" applyAlignment="1">
      <alignment horizontal="center" vertical="center"/>
    </xf>
    <xf numFmtId="0" fontId="5" fillId="0" borderId="0" xfId="0" applyFont="1" applyAlignment="1">
      <alignment vertical="center"/>
    </xf>
    <xf numFmtId="167" fontId="43" fillId="15" borderId="8" xfId="0" applyNumberFormat="1" applyFont="1" applyFill="1" applyBorder="1" applyAlignment="1">
      <alignment horizontal="center" vertical="center"/>
    </xf>
    <xf numFmtId="167" fontId="11" fillId="5" borderId="8" xfId="0" applyNumberFormat="1" applyFont="1" applyFill="1" applyBorder="1" applyAlignment="1">
      <alignment horizontal="center" vertical="center"/>
    </xf>
    <xf numFmtId="167" fontId="11" fillId="0" borderId="8" xfId="0" applyNumberFormat="1" applyFont="1" applyBorder="1" applyAlignment="1">
      <alignment horizontal="center" vertical="center"/>
    </xf>
    <xf numFmtId="167" fontId="43" fillId="15" borderId="9" xfId="0" applyNumberFormat="1" applyFont="1" applyFill="1" applyBorder="1" applyAlignment="1">
      <alignment horizontal="center" vertical="center"/>
    </xf>
    <xf numFmtId="167" fontId="11" fillId="5" borderId="9" xfId="0" applyNumberFormat="1" applyFont="1" applyFill="1" applyBorder="1" applyAlignment="1">
      <alignment horizontal="center" vertical="center"/>
    </xf>
    <xf numFmtId="167" fontId="11" fillId="0" borderId="9" xfId="0" applyNumberFormat="1" applyFont="1" applyBorder="1" applyAlignment="1">
      <alignment horizontal="center" vertical="center"/>
    </xf>
    <xf numFmtId="167" fontId="5" fillId="0" borderId="0" xfId="0" applyNumberFormat="1" applyFont="1" applyAlignment="1">
      <alignment horizontal="center" vertical="center"/>
    </xf>
    <xf numFmtId="167" fontId="0" fillId="0" borderId="0" xfId="0" applyNumberFormat="1" applyAlignment="1">
      <alignment horizontal="center" vertical="center"/>
    </xf>
    <xf numFmtId="167" fontId="141" fillId="0" borderId="0" xfId="0" applyNumberFormat="1" applyFont="1" applyAlignment="1">
      <alignment horizontal="center" vertical="center"/>
    </xf>
    <xf numFmtId="0" fontId="29" fillId="0" borderId="0" xfId="0" applyFont="1"/>
    <xf numFmtId="0" fontId="129" fillId="0" borderId="0" xfId="0" applyFont="1" applyAlignment="1">
      <alignment horizontal="center" vertical="center"/>
    </xf>
    <xf numFmtId="0" fontId="129" fillId="0" borderId="0" xfId="0" applyFont="1" applyAlignment="1">
      <alignment horizontal="center"/>
    </xf>
    <xf numFmtId="0" fontId="141" fillId="0" borderId="0" xfId="0" applyFont="1" applyAlignment="1">
      <alignment horizontal="center"/>
    </xf>
    <xf numFmtId="167" fontId="11" fillId="16" borderId="8" xfId="0" applyNumberFormat="1" applyFont="1" applyFill="1" applyBorder="1" applyAlignment="1">
      <alignment horizontal="center" vertical="center"/>
    </xf>
    <xf numFmtId="167" fontId="11" fillId="16" borderId="9" xfId="0" applyNumberFormat="1" applyFont="1" applyFill="1" applyBorder="1" applyAlignment="1">
      <alignment horizontal="center" vertical="center"/>
    </xf>
    <xf numFmtId="0" fontId="5" fillId="16" borderId="9" xfId="0" applyFont="1" applyFill="1" applyBorder="1" applyAlignment="1">
      <alignment horizontal="center"/>
    </xf>
    <xf numFmtId="0" fontId="5" fillId="16" borderId="7" xfId="0" applyFont="1" applyFill="1" applyBorder="1" applyAlignment="1">
      <alignment horizontal="center"/>
    </xf>
    <xf numFmtId="0" fontId="5" fillId="16" borderId="8" xfId="0" applyFont="1" applyFill="1" applyBorder="1" applyAlignment="1">
      <alignment horizontal="center"/>
    </xf>
    <xf numFmtId="0" fontId="117" fillId="12" borderId="55" xfId="0" applyFont="1" applyFill="1" applyBorder="1" applyAlignment="1">
      <alignment horizontal="center" vertical="center" wrapText="1"/>
    </xf>
    <xf numFmtId="14" fontId="108" fillId="0" borderId="0" xfId="0" applyNumberFormat="1" applyFont="1" applyAlignment="1" applyProtection="1">
      <alignment horizontal="center" shrinkToFit="1"/>
    </xf>
    <xf numFmtId="0" fontId="143" fillId="0" borderId="0" xfId="0" applyFont="1" applyFill="1" applyBorder="1" applyAlignment="1">
      <alignment horizontal="center"/>
    </xf>
    <xf numFmtId="0" fontId="142" fillId="0" borderId="0" xfId="0" applyFont="1" applyFill="1" applyBorder="1" applyAlignment="1">
      <alignment horizontal="center"/>
    </xf>
    <xf numFmtId="0" fontId="144" fillId="0" borderId="0" xfId="0" applyFont="1" applyFill="1" applyAlignment="1">
      <alignment horizontal="center"/>
    </xf>
    <xf numFmtId="1" fontId="145" fillId="0" borderId="0" xfId="0" applyNumberFormat="1" applyFont="1" applyFill="1" applyBorder="1" applyAlignment="1" applyProtection="1">
      <alignment horizontal="center"/>
      <protection locked="0"/>
    </xf>
    <xf numFmtId="0" fontId="88" fillId="3" borderId="0" xfId="0" applyFont="1" applyFill="1" applyBorder="1" applyAlignment="1">
      <alignment horizontal="right"/>
    </xf>
    <xf numFmtId="164" fontId="0" fillId="0" borderId="1" xfId="0" applyNumberFormat="1" applyBorder="1" applyAlignment="1">
      <alignment horizontal="center"/>
    </xf>
    <xf numFmtId="0" fontId="0" fillId="0" borderId="0" xfId="0" applyFill="1" applyBorder="1" applyAlignment="1">
      <alignment horizontal="center"/>
    </xf>
    <xf numFmtId="164" fontId="0" fillId="0" borderId="10" xfId="0" applyNumberFormat="1" applyBorder="1" applyAlignment="1">
      <alignment horizontal="center"/>
    </xf>
    <xf numFmtId="164" fontId="0" fillId="0" borderId="5" xfId="0" applyNumberFormat="1" applyBorder="1" applyAlignment="1">
      <alignment horizontal="center"/>
    </xf>
    <xf numFmtId="0" fontId="66" fillId="0" borderId="0" xfId="0" applyFont="1" applyFill="1" applyBorder="1" applyAlignment="1">
      <alignment horizontal="left"/>
    </xf>
    <xf numFmtId="1" fontId="148" fillId="0" borderId="4" xfId="0" applyNumberFormat="1" applyFont="1" applyFill="1" applyBorder="1" applyAlignment="1">
      <alignment horizontal="center"/>
    </xf>
    <xf numFmtId="0" fontId="0" fillId="0" borderId="0" xfId="0" applyBorder="1" applyAlignment="1">
      <alignment horizontal="center"/>
    </xf>
    <xf numFmtId="167" fontId="0" fillId="0" borderId="11" xfId="0" applyNumberFormat="1" applyBorder="1" applyAlignment="1">
      <alignment horizontal="center"/>
    </xf>
    <xf numFmtId="2" fontId="5" fillId="0" borderId="0" xfId="0" applyNumberFormat="1" applyFont="1" applyFill="1" applyAlignment="1" applyProtection="1">
      <alignment horizontal="center"/>
    </xf>
    <xf numFmtId="166" fontId="5" fillId="0" borderId="0" xfId="0" applyNumberFormat="1" applyFont="1" applyFill="1" applyAlignment="1" applyProtection="1">
      <alignment horizontal="center"/>
    </xf>
    <xf numFmtId="0" fontId="29" fillId="3" borderId="0" xfId="0" applyFont="1" applyFill="1" applyBorder="1"/>
    <xf numFmtId="164" fontId="5" fillId="14" borderId="0" xfId="0" applyNumberFormat="1" applyFont="1" applyFill="1" applyBorder="1" applyAlignment="1">
      <alignment horizontal="center"/>
    </xf>
    <xf numFmtId="166" fontId="5" fillId="14" borderId="22" xfId="0" applyNumberFormat="1" applyFont="1" applyFill="1" applyBorder="1" applyAlignment="1" applyProtection="1">
      <alignment horizontal="center"/>
    </xf>
    <xf numFmtId="166" fontId="5" fillId="0" borderId="0" xfId="0" applyNumberFormat="1" applyFont="1" applyFill="1" applyAlignment="1">
      <alignment horizontal="left"/>
    </xf>
    <xf numFmtId="0" fontId="17" fillId="17" borderId="0" xfId="0" applyFont="1" applyFill="1" applyAlignment="1">
      <alignment horizontal="center"/>
    </xf>
    <xf numFmtId="0" fontId="17" fillId="17" borderId="1" xfId="0" applyFont="1" applyFill="1" applyBorder="1" applyAlignment="1">
      <alignment horizontal="center"/>
    </xf>
    <xf numFmtId="0" fontId="17" fillId="17" borderId="10" xfId="0" applyFont="1" applyFill="1" applyBorder="1" applyAlignment="1">
      <alignment horizontal="center"/>
    </xf>
    <xf numFmtId="0" fontId="17" fillId="17" borderId="5" xfId="0" applyFont="1" applyFill="1" applyBorder="1" applyAlignment="1">
      <alignment horizontal="center"/>
    </xf>
    <xf numFmtId="1" fontId="0" fillId="5" borderId="0" xfId="0" applyNumberFormat="1" applyFill="1" applyBorder="1" applyAlignment="1">
      <alignment horizontal="left"/>
    </xf>
    <xf numFmtId="0" fontId="54" fillId="0" borderId="2" xfId="0" applyFont="1" applyFill="1" applyBorder="1" applyAlignment="1">
      <alignment horizontal="center" shrinkToFit="1"/>
    </xf>
    <xf numFmtId="0" fontId="139" fillId="0" borderId="7" xfId="0" applyFont="1" applyBorder="1" applyAlignment="1">
      <alignment horizontal="center" vertical="center"/>
    </xf>
    <xf numFmtId="0" fontId="139" fillId="0" borderId="9" xfId="0" applyFont="1" applyBorder="1" applyAlignment="1">
      <alignment horizontal="center" vertical="center"/>
    </xf>
    <xf numFmtId="0" fontId="134" fillId="0" borderId="18" xfId="0" applyFont="1" applyFill="1" applyBorder="1" applyAlignment="1">
      <alignment horizontal="left" vertical="center" wrapText="1" indent="1"/>
    </xf>
    <xf numFmtId="0" fontId="5" fillId="5" borderId="6" xfId="0" applyFont="1" applyFill="1" applyBorder="1" applyAlignment="1">
      <alignment horizontal="center"/>
    </xf>
    <xf numFmtId="0" fontId="5" fillId="5" borderId="1" xfId="0" applyFont="1" applyFill="1" applyBorder="1" applyAlignment="1">
      <alignment horizontal="center"/>
    </xf>
    <xf numFmtId="0" fontId="5" fillId="5" borderId="4" xfId="0" applyFont="1" applyFill="1" applyBorder="1" applyAlignment="1">
      <alignment horizontal="center"/>
    </xf>
    <xf numFmtId="0" fontId="5" fillId="5" borderId="5" xfId="0" applyFont="1" applyFill="1" applyBorder="1" applyAlignment="1">
      <alignment horizontal="center"/>
    </xf>
    <xf numFmtId="1" fontId="60" fillId="5" borderId="0" xfId="0" applyNumberFormat="1" applyFont="1" applyFill="1" applyBorder="1" applyAlignment="1" applyProtection="1">
      <alignment horizontal="right"/>
    </xf>
    <xf numFmtId="0" fontId="60" fillId="5" borderId="22" xfId="0" applyFont="1" applyFill="1" applyBorder="1" applyAlignment="1">
      <alignment horizontal="right"/>
    </xf>
    <xf numFmtId="1" fontId="54" fillId="5" borderId="0" xfId="0" applyNumberFormat="1" applyFont="1" applyFill="1" applyBorder="1" applyAlignment="1" applyProtection="1">
      <alignment horizontal="right"/>
    </xf>
    <xf numFmtId="0" fontId="54" fillId="5" borderId="22" xfId="0" applyFont="1" applyFill="1" applyBorder="1" applyAlignment="1">
      <alignment horizontal="right"/>
    </xf>
    <xf numFmtId="166" fontId="65" fillId="8" borderId="0" xfId="0" applyNumberFormat="1" applyFont="1" applyFill="1" applyBorder="1" applyAlignment="1" applyProtection="1">
      <alignment horizontal="center" shrinkToFit="1"/>
    </xf>
    <xf numFmtId="1" fontId="104" fillId="5" borderId="64" xfId="0" applyNumberFormat="1" applyFont="1" applyFill="1" applyBorder="1" applyAlignment="1" applyProtection="1">
      <alignment horizontal="center" vertical="center" shrinkToFit="1"/>
      <protection locked="0"/>
    </xf>
    <xf numFmtId="1" fontId="104" fillId="5" borderId="65" xfId="0" applyNumberFormat="1" applyFont="1" applyFill="1" applyBorder="1" applyAlignment="1" applyProtection="1">
      <alignment horizontal="center" vertical="center" shrinkToFit="1"/>
      <protection locked="0"/>
    </xf>
    <xf numFmtId="1" fontId="104" fillId="5" borderId="66" xfId="0" applyNumberFormat="1" applyFont="1" applyFill="1" applyBorder="1" applyAlignment="1" applyProtection="1">
      <alignment horizontal="center" vertical="center" shrinkToFit="1"/>
      <protection locked="0"/>
    </xf>
    <xf numFmtId="0" fontId="5" fillId="3" borderId="0" xfId="0" applyFont="1" applyFill="1" applyBorder="1" applyAlignment="1">
      <alignment horizontal="left" shrinkToFit="1"/>
    </xf>
    <xf numFmtId="167" fontId="72" fillId="0" borderId="18" xfId="0" applyNumberFormat="1" applyFont="1" applyFill="1" applyBorder="1" applyAlignment="1">
      <alignment horizontal="left" wrapText="1" indent="1"/>
    </xf>
    <xf numFmtId="0" fontId="110" fillId="0" borderId="18" xfId="0" applyFont="1" applyFill="1" applyBorder="1" applyAlignment="1">
      <alignment horizontal="left" wrapText="1" indent="1"/>
    </xf>
    <xf numFmtId="0" fontId="136" fillId="14" borderId="0" xfId="0" applyFont="1" applyFill="1" applyAlignment="1" applyProtection="1">
      <alignment horizontal="center" vertical="center"/>
    </xf>
    <xf numFmtId="0" fontId="136" fillId="14" borderId="22" xfId="0" applyFont="1" applyFill="1" applyBorder="1" applyAlignment="1" applyProtection="1">
      <alignment horizontal="center" vertical="center"/>
    </xf>
    <xf numFmtId="0" fontId="134" fillId="0" borderId="18" xfId="0" applyFont="1" applyFill="1" applyBorder="1" applyAlignment="1" applyProtection="1">
      <alignment horizontal="left" vertical="center" wrapText="1" indent="1"/>
    </xf>
    <xf numFmtId="166" fontId="88" fillId="3" borderId="0" xfId="0" applyNumberFormat="1" applyFont="1" applyFill="1" applyBorder="1" applyAlignment="1" applyProtection="1">
      <alignment horizontal="left" shrinkToFit="1"/>
    </xf>
    <xf numFmtId="1" fontId="24" fillId="5" borderId="0" xfId="0" applyNumberFormat="1" applyFont="1" applyFill="1" applyBorder="1" applyAlignment="1" applyProtection="1">
      <alignment horizontal="right"/>
    </xf>
    <xf numFmtId="1" fontId="24" fillId="5" borderId="22" xfId="0" applyNumberFormat="1" applyFont="1" applyFill="1" applyBorder="1" applyAlignment="1" applyProtection="1">
      <alignment horizontal="right"/>
    </xf>
    <xf numFmtId="1" fontId="81" fillId="5" borderId="64" xfId="0" applyNumberFormat="1" applyFont="1" applyFill="1" applyBorder="1" applyAlignment="1" applyProtection="1">
      <alignment horizontal="center" vertical="center" shrinkToFit="1"/>
    </xf>
    <xf numFmtId="1" fontId="81" fillId="5" borderId="65" xfId="0" applyNumberFormat="1" applyFont="1" applyFill="1" applyBorder="1" applyAlignment="1" applyProtection="1">
      <alignment horizontal="center" vertical="center" shrinkToFit="1"/>
    </xf>
    <xf numFmtId="1" fontId="81" fillId="5" borderId="66" xfId="0" applyNumberFormat="1" applyFont="1" applyFill="1" applyBorder="1" applyAlignment="1" applyProtection="1">
      <alignment horizontal="center" vertical="center" shrinkToFit="1"/>
    </xf>
    <xf numFmtId="166" fontId="65" fillId="8" borderId="0" xfId="0" applyNumberFormat="1" applyFont="1" applyFill="1" applyBorder="1" applyAlignment="1" applyProtection="1">
      <alignment horizontal="left" shrinkToFit="1"/>
    </xf>
    <xf numFmtId="0" fontId="66" fillId="0" borderId="0" xfId="0" applyFont="1" applyFill="1" applyBorder="1" applyAlignment="1">
      <alignment horizontal="center" wrapText="1"/>
    </xf>
    <xf numFmtId="0" fontId="99" fillId="0" borderId="2" xfId="0" applyFont="1" applyBorder="1" applyAlignment="1">
      <alignment wrapText="1"/>
    </xf>
    <xf numFmtId="0" fontId="134" fillId="0" borderId="0" xfId="0" applyFont="1" applyFill="1" applyBorder="1" applyAlignment="1" applyProtection="1">
      <alignment horizontal="left" vertical="center" wrapText="1" indent="1"/>
    </xf>
    <xf numFmtId="1" fontId="78" fillId="5" borderId="0" xfId="0" applyNumberFormat="1" applyFont="1" applyFill="1" applyBorder="1" applyAlignment="1" applyProtection="1">
      <alignment horizontal="right"/>
    </xf>
    <xf numFmtId="1" fontId="78" fillId="5" borderId="22" xfId="0" applyNumberFormat="1" applyFont="1" applyFill="1" applyBorder="1" applyAlignment="1" applyProtection="1">
      <alignment horizontal="right"/>
    </xf>
    <xf numFmtId="0" fontId="0" fillId="0" borderId="0" xfId="0" applyAlignment="1">
      <alignment horizontal="left" shrinkToFit="1"/>
    </xf>
    <xf numFmtId="0" fontId="139" fillId="0" borderId="8" xfId="0" applyFont="1" applyBorder="1" applyAlignment="1">
      <alignment horizontal="center" vertical="center"/>
    </xf>
    <xf numFmtId="0" fontId="0" fillId="0" borderId="0" xfId="0" applyAlignment="1">
      <alignment shrinkToFit="1"/>
    </xf>
    <xf numFmtId="0" fontId="138" fillId="0" borderId="18" xfId="0" applyFont="1" applyFill="1" applyBorder="1" applyAlignment="1" applyProtection="1">
      <alignment horizontal="left" vertical="center" wrapText="1" indent="1"/>
    </xf>
    <xf numFmtId="0" fontId="84" fillId="0" borderId="0" xfId="0" applyFont="1" applyFill="1" applyAlignment="1">
      <alignment horizontal="center"/>
    </xf>
    <xf numFmtId="0" fontId="66" fillId="5" borderId="67" xfId="0" applyFont="1" applyFill="1" applyBorder="1" applyAlignment="1">
      <alignment horizontal="center"/>
    </xf>
    <xf numFmtId="0" fontId="66" fillId="5" borderId="68" xfId="0" applyFont="1" applyFill="1" applyBorder="1" applyAlignment="1">
      <alignment horizontal="center"/>
    </xf>
    <xf numFmtId="0" fontId="121" fillId="0" borderId="0" xfId="0" applyFont="1" applyFill="1" applyAlignment="1">
      <alignment horizontal="center" vertical="top" wrapText="1"/>
    </xf>
    <xf numFmtId="0" fontId="117" fillId="0" borderId="0" xfId="0" applyFont="1" applyFill="1" applyAlignment="1">
      <alignment horizontal="justify" vertical="top" wrapText="1"/>
    </xf>
    <xf numFmtId="0" fontId="114" fillId="0" borderId="0" xfId="0" applyFont="1" applyAlignment="1">
      <alignment vertical="top" wrapText="1"/>
    </xf>
  </cellXfs>
  <cellStyles count="1">
    <cellStyle name="Normal" xfId="0" builtinId="0"/>
  </cellStyles>
  <dxfs count="70">
    <dxf>
      <font>
        <color theme="0" tint="-0.499984740745262"/>
      </font>
      <fill>
        <patternFill>
          <bgColor theme="0" tint="-0.24994659260841701"/>
        </patternFill>
      </fill>
    </dxf>
    <dxf>
      <font>
        <condense val="0"/>
        <extend val="0"/>
        <color indexed="17"/>
      </font>
    </dxf>
    <dxf>
      <font>
        <color theme="0" tint="-0.14996795556505021"/>
      </font>
    </dxf>
    <dxf>
      <font>
        <b/>
        <i val="0"/>
        <strike val="0"/>
        <color indexed="17"/>
      </font>
    </dxf>
    <dxf>
      <font>
        <condense val="0"/>
        <extend val="0"/>
        <color indexed="17"/>
      </font>
    </dxf>
    <dxf>
      <font>
        <b val="0"/>
        <i val="0"/>
        <condense val="0"/>
        <extend val="0"/>
        <color auto="1"/>
      </font>
      <fill>
        <patternFill patternType="solid">
          <bgColor indexed="9"/>
        </patternFill>
      </fill>
    </dxf>
    <dxf>
      <font>
        <condense val="0"/>
        <extend val="0"/>
        <color indexed="17"/>
      </font>
    </dxf>
    <dxf>
      <font>
        <b/>
        <i val="0"/>
        <condense val="0"/>
        <extend val="0"/>
        <color indexed="9"/>
      </font>
      <fill>
        <patternFill>
          <bgColor indexed="10"/>
        </patternFill>
      </fill>
    </dxf>
    <dxf>
      <font>
        <condense val="0"/>
        <extend val="0"/>
        <color indexed="9"/>
      </font>
    </dxf>
    <dxf>
      <font>
        <strike val="0"/>
        <color indexed="17"/>
      </font>
    </dxf>
    <dxf>
      <font>
        <b val="0"/>
        <i/>
        <strike val="0"/>
        <color indexed="21"/>
      </font>
      <fill>
        <patternFill>
          <bgColor theme="0"/>
        </patternFill>
      </fill>
    </dxf>
    <dxf>
      <font>
        <condense val="0"/>
        <extend val="0"/>
        <color indexed="17"/>
      </font>
    </dxf>
    <dxf>
      <font>
        <condense val="0"/>
        <extend val="0"/>
        <color indexed="9"/>
      </font>
    </dxf>
    <dxf>
      <font>
        <condense val="0"/>
        <extend val="0"/>
        <color indexed="9"/>
      </font>
    </dxf>
    <dxf>
      <font>
        <b/>
        <i val="0"/>
        <condense val="0"/>
        <extend val="0"/>
        <color indexed="9"/>
      </font>
      <fill>
        <patternFill>
          <bgColor indexed="16"/>
        </patternFill>
      </fill>
    </dxf>
    <dxf>
      <font>
        <condense val="0"/>
        <extend val="0"/>
        <color indexed="17"/>
      </font>
    </dxf>
    <dxf>
      <font>
        <b val="0"/>
        <i val="0"/>
        <condense val="0"/>
        <extend val="0"/>
        <u val="none"/>
        <color indexed="10"/>
      </font>
      <fill>
        <patternFill patternType="none">
          <bgColor indexed="65"/>
        </patternFill>
      </fill>
    </dxf>
    <dxf>
      <font>
        <condense val="0"/>
        <extend val="0"/>
        <color indexed="17"/>
      </font>
    </dxf>
    <dxf>
      <font>
        <strike val="0"/>
        <color theme="0" tint="-0.14996795556505021"/>
      </font>
    </dxf>
    <dxf>
      <font>
        <condense val="0"/>
        <extend val="0"/>
        <color indexed="17"/>
      </font>
    </dxf>
    <dxf>
      <font>
        <strike val="0"/>
        <color indexed="17"/>
      </font>
    </dxf>
    <dxf>
      <font>
        <b val="0"/>
        <i val="0"/>
        <condense val="0"/>
        <extend val="0"/>
        <color auto="1"/>
      </font>
      <fill>
        <patternFill patternType="solid">
          <bgColor indexed="9"/>
        </patternFill>
      </fill>
    </dxf>
    <dxf>
      <font>
        <strike val="0"/>
        <color indexed="17"/>
      </font>
    </dxf>
    <dxf>
      <font>
        <b/>
        <i val="0"/>
        <condense val="0"/>
        <extend val="0"/>
        <color indexed="9"/>
      </font>
      <fill>
        <patternFill>
          <bgColor indexed="10"/>
        </patternFill>
      </fill>
    </dxf>
    <dxf>
      <font>
        <strike val="0"/>
        <color indexed="17"/>
      </font>
    </dxf>
    <dxf>
      <font>
        <b val="0"/>
        <i/>
        <strike val="0"/>
        <color indexed="21"/>
      </font>
      <fill>
        <patternFill>
          <bgColor theme="0"/>
        </patternFill>
      </fill>
    </dxf>
    <dxf>
      <font>
        <condense val="0"/>
        <extend val="0"/>
        <color indexed="17"/>
      </font>
    </dxf>
    <dxf>
      <font>
        <condense val="0"/>
        <extend val="0"/>
        <color indexed="9"/>
      </font>
    </dxf>
    <dxf>
      <font>
        <condense val="0"/>
        <extend val="0"/>
        <color indexed="17"/>
      </font>
    </dxf>
    <dxf>
      <font>
        <condense val="0"/>
        <extend val="0"/>
        <color indexed="9"/>
      </font>
    </dxf>
    <dxf>
      <font>
        <b/>
        <i val="0"/>
        <condense val="0"/>
        <extend val="0"/>
        <color indexed="9"/>
      </font>
      <fill>
        <patternFill>
          <bgColor indexed="16"/>
        </patternFill>
      </fill>
    </dxf>
    <dxf>
      <font>
        <condense val="0"/>
        <extend val="0"/>
        <color indexed="17"/>
      </font>
    </dxf>
    <dxf>
      <font>
        <b val="0"/>
        <i val="0"/>
        <condense val="0"/>
        <extend val="0"/>
        <u val="none"/>
        <color indexed="10"/>
      </font>
      <fill>
        <patternFill patternType="none">
          <bgColor indexed="65"/>
        </patternFill>
      </fill>
    </dxf>
    <dxf>
      <font>
        <condense val="0"/>
        <extend val="0"/>
        <color indexed="17"/>
      </font>
    </dxf>
    <dxf>
      <font>
        <color theme="0" tint="-0.14996795556505021"/>
      </font>
    </dxf>
    <dxf>
      <font>
        <b/>
        <i val="0"/>
        <strike val="0"/>
        <color indexed="17"/>
      </font>
    </dxf>
    <dxf>
      <font>
        <b val="0"/>
        <i val="0"/>
        <condense val="0"/>
        <extend val="0"/>
        <color auto="1"/>
      </font>
      <fill>
        <patternFill patternType="solid">
          <bgColor indexed="9"/>
        </patternFill>
      </fill>
    </dxf>
    <dxf>
      <font>
        <condense val="0"/>
        <extend val="0"/>
        <color indexed="17"/>
      </font>
    </dxf>
    <dxf>
      <font>
        <condense val="0"/>
        <extend val="0"/>
        <color indexed="17"/>
      </font>
    </dxf>
    <dxf>
      <font>
        <b/>
        <i val="0"/>
        <condense val="0"/>
        <extend val="0"/>
        <color indexed="9"/>
      </font>
      <fill>
        <patternFill>
          <bgColor indexed="10"/>
        </patternFill>
      </fill>
    </dxf>
    <dxf>
      <font>
        <condense val="0"/>
        <extend val="0"/>
        <color indexed="9"/>
      </font>
    </dxf>
    <dxf>
      <font>
        <condense val="0"/>
        <extend val="0"/>
        <color indexed="9"/>
      </font>
    </dxf>
    <dxf>
      <font>
        <condense val="0"/>
        <extend val="0"/>
        <color indexed="22"/>
      </font>
      <fill>
        <patternFill patternType="none">
          <bgColor indexed="65"/>
        </patternFill>
      </fill>
    </dxf>
    <dxf>
      <font>
        <condense val="0"/>
        <extend val="0"/>
        <color indexed="9"/>
      </font>
    </dxf>
    <dxf>
      <font>
        <condense val="0"/>
        <extend val="0"/>
        <color indexed="17"/>
      </font>
    </dxf>
    <dxf>
      <font>
        <b val="0"/>
        <i/>
        <strike val="0"/>
        <color indexed="21"/>
      </font>
      <fill>
        <patternFill>
          <bgColor indexed="9"/>
        </patternFill>
      </fill>
    </dxf>
    <dxf>
      <font>
        <condense val="0"/>
        <extend val="0"/>
        <color indexed="17"/>
      </font>
    </dxf>
    <dxf>
      <font>
        <condense val="0"/>
        <extend val="0"/>
        <color indexed="17"/>
      </font>
    </dxf>
    <dxf>
      <font>
        <b/>
        <i val="0"/>
        <condense val="0"/>
        <extend val="0"/>
        <color indexed="9"/>
      </font>
      <fill>
        <patternFill>
          <bgColor indexed="16"/>
        </patternFill>
      </fill>
    </dxf>
    <dxf>
      <font>
        <condense val="0"/>
        <extend val="0"/>
        <color indexed="17"/>
      </font>
    </dxf>
    <dxf>
      <font>
        <condense val="0"/>
        <extend val="0"/>
        <color indexed="9"/>
      </font>
    </dxf>
    <dxf>
      <font>
        <condense val="0"/>
        <extend val="0"/>
        <color indexed="9"/>
      </font>
    </dxf>
    <dxf>
      <font>
        <b val="0"/>
        <i val="0"/>
        <condense val="0"/>
        <extend val="0"/>
        <u val="none"/>
        <color indexed="10"/>
      </font>
      <fill>
        <patternFill patternType="none">
          <bgColor indexed="65"/>
        </patternFill>
      </fill>
    </dxf>
    <dxf>
      <font>
        <color theme="0" tint="-0.14996795556505021"/>
      </font>
    </dxf>
    <dxf>
      <font>
        <b/>
        <i val="0"/>
        <strike val="0"/>
        <color indexed="17"/>
      </font>
    </dxf>
    <dxf>
      <font>
        <condense val="0"/>
        <extend val="0"/>
        <color indexed="17"/>
      </font>
    </dxf>
    <dxf>
      <font>
        <b val="0"/>
        <i val="0"/>
        <condense val="0"/>
        <extend val="0"/>
        <color auto="1"/>
      </font>
      <fill>
        <patternFill patternType="solid">
          <bgColor indexed="9"/>
        </patternFill>
      </fill>
    </dxf>
    <dxf>
      <font>
        <condense val="0"/>
        <extend val="0"/>
        <color indexed="17"/>
      </font>
    </dxf>
    <dxf>
      <font>
        <b/>
        <i val="0"/>
        <condense val="0"/>
        <extend val="0"/>
        <color indexed="9"/>
      </font>
      <fill>
        <patternFill>
          <bgColor indexed="10"/>
        </patternFill>
      </fill>
    </dxf>
    <dxf>
      <font>
        <condense val="0"/>
        <extend val="0"/>
        <color indexed="22"/>
      </font>
      <fill>
        <patternFill patternType="none">
          <bgColor indexed="65"/>
        </patternFill>
      </fill>
    </dxf>
    <dxf>
      <font>
        <condense val="0"/>
        <extend val="0"/>
        <color indexed="9"/>
      </font>
    </dxf>
    <dxf>
      <font>
        <b val="0"/>
        <i/>
        <strike val="0"/>
        <color indexed="21"/>
      </font>
      <fill>
        <patternFill>
          <bgColor indexed="9"/>
        </patternFill>
      </fill>
    </dxf>
    <dxf>
      <font>
        <condense val="0"/>
        <extend val="0"/>
        <color indexed="17"/>
      </font>
    </dxf>
    <dxf>
      <font>
        <condense val="0"/>
        <extend val="0"/>
        <color indexed="9"/>
      </font>
    </dxf>
    <dxf>
      <font>
        <b/>
        <i val="0"/>
        <condense val="0"/>
        <extend val="0"/>
        <color indexed="9"/>
      </font>
      <fill>
        <patternFill>
          <bgColor indexed="16"/>
        </patternFill>
      </fill>
    </dxf>
    <dxf>
      <font>
        <condense val="0"/>
        <extend val="0"/>
        <color indexed="17"/>
      </font>
    </dxf>
    <dxf>
      <font>
        <condense val="0"/>
        <extend val="0"/>
        <color indexed="17"/>
      </font>
    </dxf>
    <dxf>
      <font>
        <b/>
        <i val="0"/>
        <condense val="0"/>
        <extend val="0"/>
        <u val="none"/>
        <color indexed="9"/>
      </font>
      <fill>
        <patternFill>
          <bgColor indexed="10"/>
        </patternFill>
      </fill>
    </dxf>
    <dxf>
      <font>
        <condense val="0"/>
        <extend val="0"/>
        <color indexed="9"/>
      </font>
    </dxf>
    <dxf>
      <font>
        <condense val="0"/>
        <extend val="0"/>
        <color indexed="9"/>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AFFFFF"/>
      <rgbColor rgb="00BC0000"/>
      <rgbColor rgb="00003976"/>
      <rgbColor rgb="00000080"/>
      <rgbColor rgb="00808000"/>
      <rgbColor rgb="00800080"/>
      <rgbColor rgb="00007854"/>
      <rgbColor rgb="00EAEAEA"/>
      <rgbColor rgb="00808080"/>
      <rgbColor rgb="009999FF"/>
      <rgbColor rgb="00993366"/>
      <rgbColor rgb="00F7F3DD"/>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E5E9F0"/>
      <rgbColor rgb="00DDFFDD"/>
      <rgbColor rgb="00FFFFDC"/>
      <rgbColor rgb="00BAC0D9"/>
      <rgbColor rgb="00FFE1E1"/>
      <rgbColor rgb="00CC99FF"/>
      <rgbColor rgb="00FAE9B8"/>
      <rgbColor rgb="003366FF"/>
      <rgbColor rgb="0033CCCC"/>
      <rgbColor rgb="0099CC00"/>
      <rgbColor rgb="00FFCC00"/>
      <rgbColor rgb="00FF9900"/>
      <rgbColor rgb="00FF6600"/>
      <rgbColor rgb="00CCD3E1"/>
      <rgbColor rgb="00969696"/>
      <rgbColor rgb="00003366"/>
      <rgbColor rgb="00339966"/>
      <rgbColor rgb="00003300"/>
      <rgbColor rgb="00333300"/>
      <rgbColor rgb="00993300"/>
      <rgbColor rgb="00993366"/>
      <rgbColor rgb="00002469"/>
      <rgbColor rgb="00333333"/>
    </indexedColors>
    <mruColors>
      <color rgb="FFFFFF99"/>
      <color rgb="FF0000FF"/>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6363636363636362E-2"/>
          <c:y val="3.8022813688212927E-2"/>
          <c:w val="0.93818181818181823"/>
          <c:h val="0.92775665399239549"/>
        </c:manualLayout>
      </c:layout>
      <c:scatterChart>
        <c:scatterStyle val="lineMarker"/>
        <c:varyColors val="0"/>
        <c:ser>
          <c:idx val="1"/>
          <c:order val="0"/>
          <c:tx>
            <c:strRef>
              <c:f>Gra!$B$6</c:f>
              <c:strCache>
                <c:ptCount val="1"/>
                <c:pt idx="0">
                  <c:v>E-W</c:v>
                </c:pt>
              </c:strCache>
            </c:strRef>
          </c:tx>
          <c:spPr>
            <a:ln w="25400">
              <a:solidFill>
                <a:srgbClr val="993300"/>
              </a:solidFill>
              <a:prstDash val="solid"/>
            </a:ln>
          </c:spPr>
          <c:marker>
            <c:symbol val="none"/>
          </c:marker>
          <c:xVal>
            <c:numRef>
              <c:f>Gra!$I$6:$M$6</c:f>
              <c:numCache>
                <c:formatCode>0.0</c:formatCode>
                <c:ptCount val="5"/>
                <c:pt idx="0">
                  <c:v>-625</c:v>
                </c:pt>
                <c:pt idx="1">
                  <c:v>-155</c:v>
                </c:pt>
                <c:pt idx="3">
                  <c:v>455</c:v>
                </c:pt>
                <c:pt idx="4">
                  <c:v>925</c:v>
                </c:pt>
              </c:numCache>
            </c:numRef>
          </c:xVal>
          <c:yVal>
            <c:numRef>
              <c:f>Gra!$I$7:$M$7</c:f>
              <c:numCache>
                <c:formatCode>0.0</c:formatCode>
                <c:ptCount val="5"/>
                <c:pt idx="0">
                  <c:v>150</c:v>
                </c:pt>
                <c:pt idx="1">
                  <c:v>150</c:v>
                </c:pt>
                <c:pt idx="3">
                  <c:v>150</c:v>
                </c:pt>
                <c:pt idx="4">
                  <c:v>150</c:v>
                </c:pt>
              </c:numCache>
            </c:numRef>
          </c:yVal>
          <c:smooth val="0"/>
          <c:extLst>
            <c:ext xmlns:c16="http://schemas.microsoft.com/office/drawing/2014/chart" uri="{C3380CC4-5D6E-409C-BE32-E72D297353CC}">
              <c16:uniqueId val="{00000000-2733-41C3-BDAA-276C57ECFCE6}"/>
            </c:ext>
          </c:extLst>
        </c:ser>
        <c:ser>
          <c:idx val="2"/>
          <c:order val="1"/>
          <c:tx>
            <c:strRef>
              <c:f>Gra!$B$8</c:f>
              <c:strCache>
                <c:ptCount val="1"/>
                <c:pt idx="0">
                  <c:v>N-S</c:v>
                </c:pt>
              </c:strCache>
            </c:strRef>
          </c:tx>
          <c:spPr>
            <a:ln w="25400">
              <a:solidFill>
                <a:srgbClr val="993300"/>
              </a:solidFill>
              <a:prstDash val="solid"/>
            </a:ln>
          </c:spPr>
          <c:marker>
            <c:symbol val="none"/>
          </c:marker>
          <c:xVal>
            <c:numRef>
              <c:f>Gra!$I$8:$M$8</c:f>
              <c:numCache>
                <c:formatCode>0.0</c:formatCode>
                <c:ptCount val="5"/>
                <c:pt idx="0">
                  <c:v>150</c:v>
                </c:pt>
                <c:pt idx="1">
                  <c:v>150</c:v>
                </c:pt>
                <c:pt idx="3">
                  <c:v>150</c:v>
                </c:pt>
                <c:pt idx="4">
                  <c:v>150</c:v>
                </c:pt>
              </c:numCache>
            </c:numRef>
          </c:xVal>
          <c:yVal>
            <c:numRef>
              <c:f>Gra!$I$9:$M$9</c:f>
              <c:numCache>
                <c:formatCode>0.0</c:formatCode>
                <c:ptCount val="5"/>
                <c:pt idx="0">
                  <c:v>-155</c:v>
                </c:pt>
                <c:pt idx="1">
                  <c:v>-625</c:v>
                </c:pt>
                <c:pt idx="3">
                  <c:v>455</c:v>
                </c:pt>
                <c:pt idx="4">
                  <c:v>925</c:v>
                </c:pt>
              </c:numCache>
            </c:numRef>
          </c:yVal>
          <c:smooth val="0"/>
          <c:extLst>
            <c:ext xmlns:c16="http://schemas.microsoft.com/office/drawing/2014/chart" uri="{C3380CC4-5D6E-409C-BE32-E72D297353CC}">
              <c16:uniqueId val="{00000001-2733-41C3-BDAA-276C57ECFCE6}"/>
            </c:ext>
          </c:extLst>
        </c:ser>
        <c:ser>
          <c:idx val="3"/>
          <c:order val="2"/>
          <c:tx>
            <c:strRef>
              <c:f>Gra!$B$10</c:f>
              <c:strCache>
                <c:ptCount val="1"/>
                <c:pt idx="0">
                  <c:v>NW+NE</c:v>
                </c:pt>
              </c:strCache>
            </c:strRef>
          </c:tx>
          <c:spPr>
            <a:ln w="25400">
              <a:solidFill>
                <a:srgbClr val="993300"/>
              </a:solidFill>
              <a:prstDash val="solid"/>
            </a:ln>
          </c:spPr>
          <c:marker>
            <c:symbol val="none"/>
          </c:marker>
          <c:xVal>
            <c:numRef>
              <c:f>Gra!$I$10:$M$10</c:f>
              <c:numCache>
                <c:formatCode>0.0</c:formatCode>
                <c:ptCount val="5"/>
                <c:pt idx="0">
                  <c:v>-155</c:v>
                </c:pt>
                <c:pt idx="1">
                  <c:v>-487.34018715767729</c:v>
                </c:pt>
                <c:pt idx="3">
                  <c:v>455</c:v>
                </c:pt>
                <c:pt idx="4">
                  <c:v>787.34018715767729</c:v>
                </c:pt>
              </c:numCache>
            </c:numRef>
          </c:xVal>
          <c:yVal>
            <c:numRef>
              <c:f>Gra!$I$11:$M$11</c:f>
              <c:numCache>
                <c:formatCode>0.0</c:formatCode>
                <c:ptCount val="5"/>
                <c:pt idx="0">
                  <c:v>455</c:v>
                </c:pt>
                <c:pt idx="1">
                  <c:v>787.34018715767729</c:v>
                </c:pt>
                <c:pt idx="3">
                  <c:v>455</c:v>
                </c:pt>
                <c:pt idx="4">
                  <c:v>787.34018715767729</c:v>
                </c:pt>
              </c:numCache>
            </c:numRef>
          </c:yVal>
          <c:smooth val="0"/>
          <c:extLst>
            <c:ext xmlns:c16="http://schemas.microsoft.com/office/drawing/2014/chart" uri="{C3380CC4-5D6E-409C-BE32-E72D297353CC}">
              <c16:uniqueId val="{00000002-2733-41C3-BDAA-276C57ECFCE6}"/>
            </c:ext>
          </c:extLst>
        </c:ser>
        <c:ser>
          <c:idx val="4"/>
          <c:order val="3"/>
          <c:tx>
            <c:strRef>
              <c:f>Gra!$B$12</c:f>
              <c:strCache>
                <c:ptCount val="1"/>
                <c:pt idx="0">
                  <c:v>SW+SE</c:v>
                </c:pt>
              </c:strCache>
            </c:strRef>
          </c:tx>
          <c:spPr>
            <a:ln w="25400">
              <a:solidFill>
                <a:srgbClr val="993300"/>
              </a:solidFill>
              <a:prstDash val="solid"/>
            </a:ln>
          </c:spPr>
          <c:marker>
            <c:symbol val="none"/>
          </c:marker>
          <c:xVal>
            <c:numRef>
              <c:f>Gra!$I$12:$M$12</c:f>
              <c:numCache>
                <c:formatCode>0.0</c:formatCode>
                <c:ptCount val="5"/>
                <c:pt idx="0">
                  <c:v>-155</c:v>
                </c:pt>
                <c:pt idx="1">
                  <c:v>-487.34018715767729</c:v>
                </c:pt>
                <c:pt idx="3">
                  <c:v>455</c:v>
                </c:pt>
                <c:pt idx="4">
                  <c:v>787.34018715767729</c:v>
                </c:pt>
              </c:numCache>
            </c:numRef>
          </c:xVal>
          <c:yVal>
            <c:numRef>
              <c:f>Gra!$I$13:$M$13</c:f>
              <c:numCache>
                <c:formatCode>0.0</c:formatCode>
                <c:ptCount val="5"/>
                <c:pt idx="0">
                  <c:v>-155</c:v>
                </c:pt>
                <c:pt idx="1">
                  <c:v>-487.34018715767729</c:v>
                </c:pt>
                <c:pt idx="3">
                  <c:v>-155</c:v>
                </c:pt>
                <c:pt idx="4">
                  <c:v>-487.34018715767729</c:v>
                </c:pt>
              </c:numCache>
            </c:numRef>
          </c:yVal>
          <c:smooth val="0"/>
          <c:extLst>
            <c:ext xmlns:c16="http://schemas.microsoft.com/office/drawing/2014/chart" uri="{C3380CC4-5D6E-409C-BE32-E72D297353CC}">
              <c16:uniqueId val="{00000003-2733-41C3-BDAA-276C57ECFCE6}"/>
            </c:ext>
          </c:extLst>
        </c:ser>
        <c:ser>
          <c:idx val="5"/>
          <c:order val="4"/>
          <c:tx>
            <c:strRef>
              <c:f>Gra!$B$14</c:f>
              <c:strCache>
                <c:ptCount val="1"/>
                <c:pt idx="0">
                  <c:v>NNW+NNE</c:v>
                </c:pt>
              </c:strCache>
            </c:strRef>
          </c:tx>
          <c:spPr>
            <a:ln w="25400">
              <a:solidFill>
                <a:srgbClr val="993300"/>
              </a:solidFill>
              <a:prstDash val="solid"/>
            </a:ln>
          </c:spPr>
          <c:marker>
            <c:symbol val="none"/>
          </c:marker>
          <c:xVal>
            <c:numRef>
              <c:f>Gra!$I$14:$M$14</c:f>
              <c:numCache>
                <c:formatCode>0.0</c:formatCode>
                <c:ptCount val="5"/>
                <c:pt idx="0">
                  <c:v>0</c:v>
                </c:pt>
                <c:pt idx="1">
                  <c:v>0</c:v>
                </c:pt>
                <c:pt idx="3">
                  <c:v>0</c:v>
                </c:pt>
                <c:pt idx="4">
                  <c:v>0</c:v>
                </c:pt>
              </c:numCache>
            </c:numRef>
          </c:xVal>
          <c:yVal>
            <c:numRef>
              <c:f>Gra!$I$15:$M$15</c:f>
              <c:numCache>
                <c:formatCode>0.0</c:formatCode>
                <c:ptCount val="5"/>
                <c:pt idx="0">
                  <c:v>0</c:v>
                </c:pt>
                <c:pt idx="1">
                  <c:v>0</c:v>
                </c:pt>
                <c:pt idx="3">
                  <c:v>0</c:v>
                </c:pt>
                <c:pt idx="4">
                  <c:v>0</c:v>
                </c:pt>
              </c:numCache>
            </c:numRef>
          </c:yVal>
          <c:smooth val="0"/>
          <c:extLst>
            <c:ext xmlns:c16="http://schemas.microsoft.com/office/drawing/2014/chart" uri="{C3380CC4-5D6E-409C-BE32-E72D297353CC}">
              <c16:uniqueId val="{00000004-2733-41C3-BDAA-276C57ECFCE6}"/>
            </c:ext>
          </c:extLst>
        </c:ser>
        <c:ser>
          <c:idx val="6"/>
          <c:order val="5"/>
          <c:tx>
            <c:strRef>
              <c:f>Gra!$B$16</c:f>
              <c:strCache>
                <c:ptCount val="1"/>
                <c:pt idx="0">
                  <c:v>WNW+ENE</c:v>
                </c:pt>
              </c:strCache>
            </c:strRef>
          </c:tx>
          <c:spPr>
            <a:ln w="25400">
              <a:solidFill>
                <a:srgbClr val="993300"/>
              </a:solidFill>
              <a:prstDash val="solid"/>
            </a:ln>
          </c:spPr>
          <c:marker>
            <c:symbol val="none"/>
          </c:marker>
          <c:xVal>
            <c:numRef>
              <c:f>Gra!$I$16:$M$16</c:f>
              <c:numCache>
                <c:formatCode>0.0</c:formatCode>
                <c:ptCount val="5"/>
                <c:pt idx="0">
                  <c:v>0</c:v>
                </c:pt>
                <c:pt idx="1">
                  <c:v>0</c:v>
                </c:pt>
                <c:pt idx="3">
                  <c:v>0</c:v>
                </c:pt>
                <c:pt idx="4">
                  <c:v>0</c:v>
                </c:pt>
              </c:numCache>
            </c:numRef>
          </c:xVal>
          <c:yVal>
            <c:numRef>
              <c:f>Gra!$I$17:$M$17</c:f>
              <c:numCache>
                <c:formatCode>0.0</c:formatCode>
                <c:ptCount val="5"/>
                <c:pt idx="0">
                  <c:v>0</c:v>
                </c:pt>
                <c:pt idx="1">
                  <c:v>0</c:v>
                </c:pt>
                <c:pt idx="3">
                  <c:v>0</c:v>
                </c:pt>
                <c:pt idx="4">
                  <c:v>0</c:v>
                </c:pt>
              </c:numCache>
            </c:numRef>
          </c:yVal>
          <c:smooth val="0"/>
          <c:extLst>
            <c:ext xmlns:c16="http://schemas.microsoft.com/office/drawing/2014/chart" uri="{C3380CC4-5D6E-409C-BE32-E72D297353CC}">
              <c16:uniqueId val="{00000005-2733-41C3-BDAA-276C57ECFCE6}"/>
            </c:ext>
          </c:extLst>
        </c:ser>
        <c:ser>
          <c:idx val="7"/>
          <c:order val="6"/>
          <c:tx>
            <c:strRef>
              <c:f>Gra!$B$18</c:f>
              <c:strCache>
                <c:ptCount val="1"/>
                <c:pt idx="0">
                  <c:v>SSW+SSE</c:v>
                </c:pt>
              </c:strCache>
            </c:strRef>
          </c:tx>
          <c:spPr>
            <a:ln w="25400">
              <a:solidFill>
                <a:srgbClr val="993300"/>
              </a:solidFill>
              <a:prstDash val="solid"/>
            </a:ln>
          </c:spPr>
          <c:marker>
            <c:symbol val="none"/>
          </c:marker>
          <c:xVal>
            <c:numRef>
              <c:f>Gra!$I$18:$M$18</c:f>
              <c:numCache>
                <c:formatCode>0.0</c:formatCode>
                <c:ptCount val="5"/>
                <c:pt idx="0">
                  <c:v>0</c:v>
                </c:pt>
                <c:pt idx="1">
                  <c:v>0</c:v>
                </c:pt>
                <c:pt idx="3">
                  <c:v>0</c:v>
                </c:pt>
                <c:pt idx="4">
                  <c:v>0</c:v>
                </c:pt>
              </c:numCache>
            </c:numRef>
          </c:xVal>
          <c:yVal>
            <c:numRef>
              <c:f>Gra!$I$19:$M$19</c:f>
              <c:numCache>
                <c:formatCode>0.0</c:formatCode>
                <c:ptCount val="5"/>
                <c:pt idx="0">
                  <c:v>0</c:v>
                </c:pt>
                <c:pt idx="1">
                  <c:v>0</c:v>
                </c:pt>
                <c:pt idx="3">
                  <c:v>0</c:v>
                </c:pt>
                <c:pt idx="4">
                  <c:v>0</c:v>
                </c:pt>
              </c:numCache>
            </c:numRef>
          </c:yVal>
          <c:smooth val="0"/>
          <c:extLst>
            <c:ext xmlns:c16="http://schemas.microsoft.com/office/drawing/2014/chart" uri="{C3380CC4-5D6E-409C-BE32-E72D297353CC}">
              <c16:uniqueId val="{00000006-2733-41C3-BDAA-276C57ECFCE6}"/>
            </c:ext>
          </c:extLst>
        </c:ser>
        <c:ser>
          <c:idx val="8"/>
          <c:order val="7"/>
          <c:tx>
            <c:strRef>
              <c:f>Gra!$B$20</c:f>
              <c:strCache>
                <c:ptCount val="1"/>
                <c:pt idx="0">
                  <c:v>WSW+ESE</c:v>
                </c:pt>
              </c:strCache>
            </c:strRef>
          </c:tx>
          <c:spPr>
            <a:ln w="25400">
              <a:solidFill>
                <a:srgbClr val="993300"/>
              </a:solidFill>
              <a:prstDash val="solid"/>
            </a:ln>
          </c:spPr>
          <c:marker>
            <c:symbol val="none"/>
          </c:marker>
          <c:xVal>
            <c:numRef>
              <c:f>Gra!$I$20:$M$20</c:f>
              <c:numCache>
                <c:formatCode>0.0</c:formatCode>
                <c:ptCount val="5"/>
                <c:pt idx="0">
                  <c:v>0</c:v>
                </c:pt>
                <c:pt idx="1">
                  <c:v>0</c:v>
                </c:pt>
                <c:pt idx="3">
                  <c:v>0</c:v>
                </c:pt>
                <c:pt idx="4">
                  <c:v>0</c:v>
                </c:pt>
              </c:numCache>
            </c:numRef>
          </c:xVal>
          <c:yVal>
            <c:numRef>
              <c:f>Gra!$I$21:$M$21</c:f>
              <c:numCache>
                <c:formatCode>0.0</c:formatCode>
                <c:ptCount val="5"/>
                <c:pt idx="0">
                  <c:v>0</c:v>
                </c:pt>
                <c:pt idx="1">
                  <c:v>0</c:v>
                </c:pt>
                <c:pt idx="3">
                  <c:v>0</c:v>
                </c:pt>
                <c:pt idx="4">
                  <c:v>0</c:v>
                </c:pt>
              </c:numCache>
            </c:numRef>
          </c:yVal>
          <c:smooth val="0"/>
          <c:extLst>
            <c:ext xmlns:c16="http://schemas.microsoft.com/office/drawing/2014/chart" uri="{C3380CC4-5D6E-409C-BE32-E72D297353CC}">
              <c16:uniqueId val="{00000007-2733-41C3-BDAA-276C57ECFCE6}"/>
            </c:ext>
          </c:extLst>
        </c:ser>
        <c:ser>
          <c:idx val="9"/>
          <c:order val="8"/>
          <c:tx>
            <c:v>B~EW</c:v>
          </c:tx>
          <c:spPr>
            <a:ln w="25400">
              <a:solidFill>
                <a:srgbClr val="993300"/>
              </a:solidFill>
              <a:prstDash val="solid"/>
            </a:ln>
          </c:spPr>
          <c:marker>
            <c:symbol val="none"/>
          </c:marker>
          <c:xVal>
            <c:numRef>
              <c:f>(Gra!$I$22:$N$22,Gra!$I$22:$N$22,Gra!$I$22:$N$22,Gra!$I$26:$N$26,Gra!$I$28:$N$28,Gra!$I$30:$N$30)</c:f>
              <c:numCache>
                <c:formatCode>0.0</c:formatCode>
                <c:ptCount val="36"/>
                <c:pt idx="0">
                  <c:v>0</c:v>
                </c:pt>
                <c:pt idx="1">
                  <c:v>0</c:v>
                </c:pt>
                <c:pt idx="3">
                  <c:v>0</c:v>
                </c:pt>
                <c:pt idx="4">
                  <c:v>0</c:v>
                </c:pt>
                <c:pt idx="6">
                  <c:v>0</c:v>
                </c:pt>
                <c:pt idx="7">
                  <c:v>0</c:v>
                </c:pt>
                <c:pt idx="9">
                  <c:v>0</c:v>
                </c:pt>
                <c:pt idx="10">
                  <c:v>0</c:v>
                </c:pt>
                <c:pt idx="12">
                  <c:v>0</c:v>
                </c:pt>
                <c:pt idx="13">
                  <c:v>0</c:v>
                </c:pt>
                <c:pt idx="15">
                  <c:v>0</c:v>
                </c:pt>
                <c:pt idx="16">
                  <c:v>0</c:v>
                </c:pt>
                <c:pt idx="18">
                  <c:v>0</c:v>
                </c:pt>
                <c:pt idx="19">
                  <c:v>0</c:v>
                </c:pt>
                <c:pt idx="21">
                  <c:v>0</c:v>
                </c:pt>
                <c:pt idx="22">
                  <c:v>0</c:v>
                </c:pt>
                <c:pt idx="24">
                  <c:v>0</c:v>
                </c:pt>
                <c:pt idx="25">
                  <c:v>0</c:v>
                </c:pt>
                <c:pt idx="27">
                  <c:v>0</c:v>
                </c:pt>
                <c:pt idx="28">
                  <c:v>0</c:v>
                </c:pt>
                <c:pt idx="30">
                  <c:v>0</c:v>
                </c:pt>
                <c:pt idx="31">
                  <c:v>0</c:v>
                </c:pt>
                <c:pt idx="33">
                  <c:v>0</c:v>
                </c:pt>
                <c:pt idx="34">
                  <c:v>0</c:v>
                </c:pt>
              </c:numCache>
            </c:numRef>
          </c:xVal>
          <c:yVal>
            <c:numRef>
              <c:f>(Gra!$I$23:$N$23,Gra!$I$24:$N$24,Gra!$I$25:$N$25,Gra!$I$27:$N$27,Gra!$I$29:$N$29,Gra!$I$31:$N$31)</c:f>
              <c:numCache>
                <c:formatCode>0.0</c:formatCode>
                <c:ptCount val="36"/>
                <c:pt idx="0">
                  <c:v>0</c:v>
                </c:pt>
                <c:pt idx="1">
                  <c:v>0</c:v>
                </c:pt>
                <c:pt idx="3">
                  <c:v>0</c:v>
                </c:pt>
                <c:pt idx="4">
                  <c:v>0</c:v>
                </c:pt>
                <c:pt idx="6">
                  <c:v>0</c:v>
                </c:pt>
                <c:pt idx="7">
                  <c:v>0</c:v>
                </c:pt>
                <c:pt idx="9">
                  <c:v>0</c:v>
                </c:pt>
                <c:pt idx="10">
                  <c:v>0</c:v>
                </c:pt>
                <c:pt idx="12">
                  <c:v>0</c:v>
                </c:pt>
                <c:pt idx="13">
                  <c:v>0</c:v>
                </c:pt>
                <c:pt idx="15">
                  <c:v>0</c:v>
                </c:pt>
                <c:pt idx="16">
                  <c:v>0</c:v>
                </c:pt>
                <c:pt idx="18">
                  <c:v>0</c:v>
                </c:pt>
                <c:pt idx="19">
                  <c:v>0</c:v>
                </c:pt>
                <c:pt idx="21">
                  <c:v>0</c:v>
                </c:pt>
                <c:pt idx="22">
                  <c:v>0</c:v>
                </c:pt>
                <c:pt idx="24">
                  <c:v>0</c:v>
                </c:pt>
                <c:pt idx="25">
                  <c:v>0</c:v>
                </c:pt>
                <c:pt idx="27">
                  <c:v>0</c:v>
                </c:pt>
                <c:pt idx="28">
                  <c:v>0</c:v>
                </c:pt>
                <c:pt idx="30">
                  <c:v>0</c:v>
                </c:pt>
                <c:pt idx="31">
                  <c:v>0</c:v>
                </c:pt>
                <c:pt idx="33">
                  <c:v>0</c:v>
                </c:pt>
                <c:pt idx="34">
                  <c:v>0</c:v>
                </c:pt>
              </c:numCache>
            </c:numRef>
          </c:yVal>
          <c:smooth val="0"/>
          <c:extLst>
            <c:ext xmlns:c16="http://schemas.microsoft.com/office/drawing/2014/chart" uri="{C3380CC4-5D6E-409C-BE32-E72D297353CC}">
              <c16:uniqueId val="{00000008-2733-41C3-BDAA-276C57ECFCE6}"/>
            </c:ext>
          </c:extLst>
        </c:ser>
        <c:ser>
          <c:idx val="0"/>
          <c:order val="9"/>
          <c:tx>
            <c:v>column</c:v>
          </c:tx>
          <c:spPr>
            <a:ln w="38100">
              <a:solidFill>
                <a:srgbClr val="000000"/>
              </a:solidFill>
              <a:prstDash val="solid"/>
            </a:ln>
          </c:spPr>
          <c:marker>
            <c:symbol val="none"/>
          </c:marker>
          <c:xVal>
            <c:numRef>
              <c:f>Gra!$C$4:$G$4</c:f>
              <c:numCache>
                <c:formatCode>General</c:formatCode>
                <c:ptCount val="5"/>
                <c:pt idx="0">
                  <c:v>0</c:v>
                </c:pt>
                <c:pt idx="1">
                  <c:v>0</c:v>
                </c:pt>
                <c:pt idx="2">
                  <c:v>300</c:v>
                </c:pt>
                <c:pt idx="3">
                  <c:v>300</c:v>
                </c:pt>
                <c:pt idx="4">
                  <c:v>0</c:v>
                </c:pt>
              </c:numCache>
            </c:numRef>
          </c:xVal>
          <c:yVal>
            <c:numRef>
              <c:f>Gra!$C$5:$G$5</c:f>
              <c:numCache>
                <c:formatCode>General</c:formatCode>
                <c:ptCount val="5"/>
                <c:pt idx="0">
                  <c:v>0</c:v>
                </c:pt>
                <c:pt idx="1">
                  <c:v>300</c:v>
                </c:pt>
                <c:pt idx="2">
                  <c:v>300</c:v>
                </c:pt>
                <c:pt idx="3">
                  <c:v>0</c:v>
                </c:pt>
                <c:pt idx="4">
                  <c:v>0</c:v>
                </c:pt>
              </c:numCache>
            </c:numRef>
          </c:yVal>
          <c:smooth val="0"/>
          <c:extLst>
            <c:ext xmlns:c16="http://schemas.microsoft.com/office/drawing/2014/chart" uri="{C3380CC4-5D6E-409C-BE32-E72D297353CC}">
              <c16:uniqueId val="{00000009-2733-41C3-BDAA-276C57ECFCE6}"/>
            </c:ext>
          </c:extLst>
        </c:ser>
        <c:ser>
          <c:idx val="12"/>
          <c:order val="10"/>
          <c:tx>
            <c:strRef>
              <c:f>Gra!$O$25</c:f>
              <c:strCache>
                <c:ptCount val="1"/>
                <c:pt idx="0">
                  <c:v>Square it</c:v>
                </c:pt>
              </c:strCache>
            </c:strRef>
          </c:tx>
          <c:spPr>
            <a:ln w="12700">
              <a:solidFill>
                <a:srgbClr val="BAC0D9"/>
              </a:solidFill>
              <a:prstDash val="solid"/>
            </a:ln>
          </c:spPr>
          <c:marker>
            <c:symbol val="none"/>
          </c:marker>
          <c:xVal>
            <c:numRef>
              <c:f>Gra!$O$28</c:f>
              <c:numCache>
                <c:formatCode>General</c:formatCode>
                <c:ptCount val="1"/>
                <c:pt idx="0">
                  <c:v>925</c:v>
                </c:pt>
              </c:numCache>
            </c:numRef>
          </c:xVal>
          <c:yVal>
            <c:numRef>
              <c:f>Gra!$O$29</c:f>
              <c:numCache>
                <c:formatCode>General</c:formatCode>
                <c:ptCount val="1"/>
                <c:pt idx="0">
                  <c:v>925</c:v>
                </c:pt>
              </c:numCache>
            </c:numRef>
          </c:yVal>
          <c:smooth val="0"/>
          <c:extLst>
            <c:ext xmlns:c16="http://schemas.microsoft.com/office/drawing/2014/chart" uri="{C3380CC4-5D6E-409C-BE32-E72D297353CC}">
              <c16:uniqueId val="{0000000A-2733-41C3-BDAA-276C57ECFCE6}"/>
            </c:ext>
          </c:extLst>
        </c:ser>
        <c:ser>
          <c:idx val="13"/>
          <c:order val="11"/>
          <c:tx>
            <c:v>hole</c:v>
          </c:tx>
          <c:spPr>
            <a:ln w="25400">
              <a:solidFill>
                <a:srgbClr val="0000FF"/>
              </a:solidFill>
              <a:prstDash val="solid"/>
            </a:ln>
          </c:spPr>
          <c:marker>
            <c:symbol val="none"/>
          </c:marker>
          <c:xVal>
            <c:numRef>
              <c:f>Gra!$C$42:$G$42</c:f>
              <c:numCache>
                <c:formatCode>General</c:formatCode>
                <c:ptCount val="5"/>
                <c:pt idx="0">
                  <c:v>150</c:v>
                </c:pt>
                <c:pt idx="1">
                  <c:v>150</c:v>
                </c:pt>
                <c:pt idx="2">
                  <c:v>150</c:v>
                </c:pt>
                <c:pt idx="3">
                  <c:v>150</c:v>
                </c:pt>
                <c:pt idx="4">
                  <c:v>150</c:v>
                </c:pt>
              </c:numCache>
            </c:numRef>
          </c:xVal>
          <c:yVal>
            <c:numRef>
              <c:f>Gra!$C$43:$G$43</c:f>
              <c:numCache>
                <c:formatCode>General</c:formatCode>
                <c:ptCount val="5"/>
                <c:pt idx="0">
                  <c:v>150</c:v>
                </c:pt>
                <c:pt idx="1">
                  <c:v>150</c:v>
                </c:pt>
                <c:pt idx="2">
                  <c:v>150</c:v>
                </c:pt>
                <c:pt idx="3">
                  <c:v>150</c:v>
                </c:pt>
                <c:pt idx="4">
                  <c:v>150</c:v>
                </c:pt>
              </c:numCache>
            </c:numRef>
          </c:yVal>
          <c:smooth val="0"/>
          <c:extLst>
            <c:ext xmlns:c16="http://schemas.microsoft.com/office/drawing/2014/chart" uri="{C3380CC4-5D6E-409C-BE32-E72D297353CC}">
              <c16:uniqueId val="{0000000B-2733-41C3-BDAA-276C57ECFCE6}"/>
            </c:ext>
          </c:extLst>
        </c:ser>
        <c:ser>
          <c:idx val="14"/>
          <c:order val="12"/>
          <c:tx>
            <c:v>cross</c:v>
          </c:tx>
          <c:spPr>
            <a:ln w="12700">
              <a:solidFill>
                <a:srgbClr val="0000FF"/>
              </a:solidFill>
              <a:prstDash val="solid"/>
            </a:ln>
          </c:spPr>
          <c:marker>
            <c:symbol val="none"/>
          </c:marker>
          <c:xVal>
            <c:numRef>
              <c:f>Gra!$I$42:$M$42</c:f>
              <c:numCache>
                <c:formatCode>General</c:formatCode>
                <c:ptCount val="5"/>
                <c:pt idx="0">
                  <c:v>150</c:v>
                </c:pt>
                <c:pt idx="1">
                  <c:v>150</c:v>
                </c:pt>
                <c:pt idx="3">
                  <c:v>150</c:v>
                </c:pt>
                <c:pt idx="4">
                  <c:v>150</c:v>
                </c:pt>
              </c:numCache>
            </c:numRef>
          </c:xVal>
          <c:yVal>
            <c:numRef>
              <c:f>Gra!$I$43:$M$43</c:f>
              <c:numCache>
                <c:formatCode>General</c:formatCode>
                <c:ptCount val="5"/>
                <c:pt idx="0">
                  <c:v>150</c:v>
                </c:pt>
                <c:pt idx="1">
                  <c:v>150</c:v>
                </c:pt>
                <c:pt idx="3">
                  <c:v>150</c:v>
                </c:pt>
                <c:pt idx="4">
                  <c:v>150</c:v>
                </c:pt>
              </c:numCache>
            </c:numRef>
          </c:yVal>
          <c:smooth val="0"/>
          <c:extLst>
            <c:ext xmlns:c16="http://schemas.microsoft.com/office/drawing/2014/chart" uri="{C3380CC4-5D6E-409C-BE32-E72D297353CC}">
              <c16:uniqueId val="{0000000C-2733-41C3-BDAA-276C57ECFCE6}"/>
            </c:ext>
          </c:extLst>
        </c:ser>
        <c:ser>
          <c:idx val="10"/>
          <c:order val="13"/>
          <c:tx>
            <c:v>B~NS</c:v>
          </c:tx>
          <c:spPr>
            <a:ln w="25400">
              <a:solidFill>
                <a:srgbClr val="993300"/>
              </a:solidFill>
              <a:prstDash val="solid"/>
            </a:ln>
          </c:spPr>
          <c:marker>
            <c:symbol val="none"/>
          </c:marker>
          <c:xVal>
            <c:numRef>
              <c:f>(Gra!$I$32:$N$32,Gra!$I$33:$N$33,Gra!$I$34:$N$34,Gra!$I$36:$N$36,Gra!$I$38:$N$38,Gra!$I$40:$M$40)</c:f>
              <c:numCache>
                <c:formatCode>0.0</c:formatCode>
                <c:ptCount val="35"/>
                <c:pt idx="0">
                  <c:v>0</c:v>
                </c:pt>
                <c:pt idx="1">
                  <c:v>0</c:v>
                </c:pt>
                <c:pt idx="3">
                  <c:v>0</c:v>
                </c:pt>
                <c:pt idx="4">
                  <c:v>0</c:v>
                </c:pt>
                <c:pt idx="6">
                  <c:v>0</c:v>
                </c:pt>
                <c:pt idx="7">
                  <c:v>0</c:v>
                </c:pt>
                <c:pt idx="9">
                  <c:v>0</c:v>
                </c:pt>
                <c:pt idx="10">
                  <c:v>0</c:v>
                </c:pt>
                <c:pt idx="12">
                  <c:v>0</c:v>
                </c:pt>
                <c:pt idx="13">
                  <c:v>0</c:v>
                </c:pt>
                <c:pt idx="15">
                  <c:v>0</c:v>
                </c:pt>
                <c:pt idx="16">
                  <c:v>0</c:v>
                </c:pt>
                <c:pt idx="18">
                  <c:v>0</c:v>
                </c:pt>
                <c:pt idx="19">
                  <c:v>0</c:v>
                </c:pt>
                <c:pt idx="21">
                  <c:v>0</c:v>
                </c:pt>
                <c:pt idx="22">
                  <c:v>0</c:v>
                </c:pt>
                <c:pt idx="24">
                  <c:v>0</c:v>
                </c:pt>
                <c:pt idx="25">
                  <c:v>0</c:v>
                </c:pt>
                <c:pt idx="27">
                  <c:v>0</c:v>
                </c:pt>
                <c:pt idx="28">
                  <c:v>0</c:v>
                </c:pt>
                <c:pt idx="30">
                  <c:v>0</c:v>
                </c:pt>
                <c:pt idx="31">
                  <c:v>0</c:v>
                </c:pt>
                <c:pt idx="33">
                  <c:v>0</c:v>
                </c:pt>
                <c:pt idx="34">
                  <c:v>0</c:v>
                </c:pt>
              </c:numCache>
            </c:numRef>
          </c:xVal>
          <c:yVal>
            <c:numRef>
              <c:f>(Gra!$I$35:$N$35,Gra!$I$35:$N$35,Gra!$I$35:$N$35,Gra!$I$37:$N$37,Gra!$I$39:$N$39,Gra!$I$41:$M$41)</c:f>
              <c:numCache>
                <c:formatCode>0.0</c:formatCode>
                <c:ptCount val="35"/>
                <c:pt idx="0">
                  <c:v>0</c:v>
                </c:pt>
                <c:pt idx="1">
                  <c:v>0</c:v>
                </c:pt>
                <c:pt idx="3">
                  <c:v>0</c:v>
                </c:pt>
                <c:pt idx="4">
                  <c:v>0</c:v>
                </c:pt>
                <c:pt idx="6">
                  <c:v>0</c:v>
                </c:pt>
                <c:pt idx="7">
                  <c:v>0</c:v>
                </c:pt>
                <c:pt idx="9">
                  <c:v>0</c:v>
                </c:pt>
                <c:pt idx="10">
                  <c:v>0</c:v>
                </c:pt>
                <c:pt idx="12">
                  <c:v>0</c:v>
                </c:pt>
                <c:pt idx="13">
                  <c:v>0</c:v>
                </c:pt>
                <c:pt idx="15">
                  <c:v>0</c:v>
                </c:pt>
                <c:pt idx="16">
                  <c:v>0</c:v>
                </c:pt>
                <c:pt idx="18">
                  <c:v>0</c:v>
                </c:pt>
                <c:pt idx="19">
                  <c:v>0</c:v>
                </c:pt>
                <c:pt idx="21">
                  <c:v>0</c:v>
                </c:pt>
                <c:pt idx="22">
                  <c:v>0</c:v>
                </c:pt>
                <c:pt idx="24">
                  <c:v>0</c:v>
                </c:pt>
                <c:pt idx="25">
                  <c:v>0</c:v>
                </c:pt>
                <c:pt idx="27">
                  <c:v>0</c:v>
                </c:pt>
                <c:pt idx="28">
                  <c:v>0</c:v>
                </c:pt>
                <c:pt idx="30">
                  <c:v>0</c:v>
                </c:pt>
                <c:pt idx="31">
                  <c:v>0</c:v>
                </c:pt>
                <c:pt idx="33">
                  <c:v>0</c:v>
                </c:pt>
                <c:pt idx="34">
                  <c:v>0</c:v>
                </c:pt>
              </c:numCache>
            </c:numRef>
          </c:yVal>
          <c:smooth val="0"/>
          <c:extLst>
            <c:ext xmlns:c16="http://schemas.microsoft.com/office/drawing/2014/chart" uri="{C3380CC4-5D6E-409C-BE32-E72D297353CC}">
              <c16:uniqueId val="{0000000D-2733-41C3-BDAA-276C57ECFCE6}"/>
            </c:ext>
          </c:extLst>
        </c:ser>
        <c:ser>
          <c:idx val="11"/>
          <c:order val="14"/>
          <c:tx>
            <c:v>Extra</c:v>
          </c:tx>
          <c:spPr>
            <a:ln w="25400">
              <a:solidFill>
                <a:srgbClr val="339966"/>
              </a:solidFill>
              <a:prstDash val="solid"/>
            </a:ln>
          </c:spPr>
          <c:marker>
            <c:symbol val="none"/>
          </c:marker>
          <c:xVal>
            <c:numRef>
              <c:f>(Gra!$C$46:$N$46,Gra!$C$50:$N$50,Gra!$C$54:$M$54)</c:f>
              <c:numCache>
                <c:formatCode>0.0</c:formatCode>
                <c:ptCount val="35"/>
                <c:pt idx="0">
                  <c:v>0</c:v>
                </c:pt>
                <c:pt idx="1">
                  <c:v>0</c:v>
                </c:pt>
                <c:pt idx="3">
                  <c:v>0</c:v>
                </c:pt>
                <c:pt idx="4">
                  <c:v>0</c:v>
                </c:pt>
                <c:pt idx="6">
                  <c:v>0</c:v>
                </c:pt>
                <c:pt idx="7">
                  <c:v>0</c:v>
                </c:pt>
                <c:pt idx="9">
                  <c:v>0</c:v>
                </c:pt>
                <c:pt idx="10">
                  <c:v>0</c:v>
                </c:pt>
                <c:pt idx="12">
                  <c:v>0</c:v>
                </c:pt>
                <c:pt idx="13">
                  <c:v>0</c:v>
                </c:pt>
                <c:pt idx="15">
                  <c:v>0</c:v>
                </c:pt>
                <c:pt idx="16">
                  <c:v>0</c:v>
                </c:pt>
                <c:pt idx="18">
                  <c:v>0</c:v>
                </c:pt>
                <c:pt idx="19">
                  <c:v>0</c:v>
                </c:pt>
                <c:pt idx="21">
                  <c:v>0</c:v>
                </c:pt>
                <c:pt idx="22">
                  <c:v>0</c:v>
                </c:pt>
                <c:pt idx="24">
                  <c:v>0</c:v>
                </c:pt>
                <c:pt idx="25">
                  <c:v>0</c:v>
                </c:pt>
                <c:pt idx="27">
                  <c:v>0</c:v>
                </c:pt>
                <c:pt idx="28">
                  <c:v>0</c:v>
                </c:pt>
                <c:pt idx="30">
                  <c:v>0</c:v>
                </c:pt>
                <c:pt idx="31">
                  <c:v>0</c:v>
                </c:pt>
                <c:pt idx="33">
                  <c:v>0</c:v>
                </c:pt>
                <c:pt idx="34">
                  <c:v>0</c:v>
                </c:pt>
              </c:numCache>
            </c:numRef>
          </c:xVal>
          <c:yVal>
            <c:numRef>
              <c:f>(Gra!$C$47:$N$47,Gra!$C$51:$N$51,Gra!$C$55:$M$55)</c:f>
              <c:numCache>
                <c:formatCode>0.0</c:formatCode>
                <c:ptCount val="35"/>
                <c:pt idx="0">
                  <c:v>0</c:v>
                </c:pt>
                <c:pt idx="1">
                  <c:v>0</c:v>
                </c:pt>
                <c:pt idx="3">
                  <c:v>0</c:v>
                </c:pt>
                <c:pt idx="4">
                  <c:v>0</c:v>
                </c:pt>
                <c:pt idx="6">
                  <c:v>0</c:v>
                </c:pt>
                <c:pt idx="7">
                  <c:v>0</c:v>
                </c:pt>
                <c:pt idx="9">
                  <c:v>0</c:v>
                </c:pt>
                <c:pt idx="10">
                  <c:v>0</c:v>
                </c:pt>
                <c:pt idx="12">
                  <c:v>0</c:v>
                </c:pt>
                <c:pt idx="13">
                  <c:v>0</c:v>
                </c:pt>
                <c:pt idx="15">
                  <c:v>0</c:v>
                </c:pt>
                <c:pt idx="16">
                  <c:v>0</c:v>
                </c:pt>
                <c:pt idx="18">
                  <c:v>0</c:v>
                </c:pt>
                <c:pt idx="19">
                  <c:v>0</c:v>
                </c:pt>
                <c:pt idx="21">
                  <c:v>0</c:v>
                </c:pt>
                <c:pt idx="22">
                  <c:v>0</c:v>
                </c:pt>
                <c:pt idx="24">
                  <c:v>0</c:v>
                </c:pt>
                <c:pt idx="25">
                  <c:v>0</c:v>
                </c:pt>
                <c:pt idx="27">
                  <c:v>0</c:v>
                </c:pt>
                <c:pt idx="28">
                  <c:v>0</c:v>
                </c:pt>
                <c:pt idx="30">
                  <c:v>0</c:v>
                </c:pt>
                <c:pt idx="31">
                  <c:v>0</c:v>
                </c:pt>
                <c:pt idx="33">
                  <c:v>0</c:v>
                </c:pt>
                <c:pt idx="34">
                  <c:v>0</c:v>
                </c:pt>
              </c:numCache>
            </c:numRef>
          </c:yVal>
          <c:smooth val="0"/>
          <c:extLst>
            <c:ext xmlns:c16="http://schemas.microsoft.com/office/drawing/2014/chart" uri="{C3380CC4-5D6E-409C-BE32-E72D297353CC}">
              <c16:uniqueId val="{0000000E-2733-41C3-BDAA-276C57ECFCE6}"/>
            </c:ext>
          </c:extLst>
        </c:ser>
        <c:ser>
          <c:idx val="15"/>
          <c:order val="15"/>
          <c:tx>
            <c:strRef>
              <c:f>INTERNAL!$N$48</c:f>
              <c:strCache>
                <c:ptCount val="1"/>
                <c:pt idx="0">
                  <c:v>Blockout</c:v>
                </c:pt>
              </c:strCache>
            </c:strRef>
          </c:tx>
          <c:spPr>
            <a:ln w="19050">
              <a:solidFill>
                <a:schemeClr val="bg1">
                  <a:lumMod val="50000"/>
                </a:schemeClr>
              </a:solidFill>
              <a:prstDash val="sysDash"/>
            </a:ln>
          </c:spPr>
          <c:marker>
            <c:symbol val="none"/>
          </c:marker>
          <c:xVal>
            <c:numRef>
              <c:f>INTERNAL!$N$52:$P$52</c:f>
              <c:numCache>
                <c:formatCode>General</c:formatCode>
                <c:ptCount val="3"/>
                <c:pt idx="0">
                  <c:v>150</c:v>
                </c:pt>
                <c:pt idx="1">
                  <c:v>150</c:v>
                </c:pt>
                <c:pt idx="2">
                  <c:v>150</c:v>
                </c:pt>
              </c:numCache>
            </c:numRef>
          </c:xVal>
          <c:yVal>
            <c:numRef>
              <c:f>INTERNAL!$N$53:$P$53</c:f>
              <c:numCache>
                <c:formatCode>General</c:formatCode>
                <c:ptCount val="3"/>
                <c:pt idx="0">
                  <c:v>150</c:v>
                </c:pt>
                <c:pt idx="1">
                  <c:v>150</c:v>
                </c:pt>
                <c:pt idx="2">
                  <c:v>150</c:v>
                </c:pt>
              </c:numCache>
            </c:numRef>
          </c:yVal>
          <c:smooth val="0"/>
          <c:extLst>
            <c:ext xmlns:c16="http://schemas.microsoft.com/office/drawing/2014/chart" uri="{C3380CC4-5D6E-409C-BE32-E72D297353CC}">
              <c16:uniqueId val="{0000000F-2733-41C3-BDAA-276C57ECFCE6}"/>
            </c:ext>
          </c:extLst>
        </c:ser>
        <c:dLbls>
          <c:showLegendKey val="0"/>
          <c:showVal val="0"/>
          <c:showCatName val="0"/>
          <c:showSerName val="0"/>
          <c:showPercent val="0"/>
          <c:showBubbleSize val="0"/>
        </c:dLbls>
        <c:axId val="47651584"/>
        <c:axId val="87452480"/>
      </c:scatterChart>
      <c:valAx>
        <c:axId val="47651584"/>
        <c:scaling>
          <c:orientation val="minMax"/>
        </c:scaling>
        <c:delete val="1"/>
        <c:axPos val="b"/>
        <c:numFmt formatCode="0.0" sourceLinked="1"/>
        <c:majorTickMark val="out"/>
        <c:minorTickMark val="none"/>
        <c:tickLblPos val="nextTo"/>
        <c:crossAx val="87452480"/>
        <c:crosses val="autoZero"/>
        <c:crossBetween val="midCat"/>
        <c:majorUnit val="100"/>
      </c:valAx>
      <c:valAx>
        <c:axId val="87452480"/>
        <c:scaling>
          <c:orientation val="minMax"/>
        </c:scaling>
        <c:delete val="1"/>
        <c:axPos val="l"/>
        <c:numFmt formatCode="0.0" sourceLinked="1"/>
        <c:majorTickMark val="out"/>
        <c:minorTickMark val="none"/>
        <c:tickLblPos val="nextTo"/>
        <c:crossAx val="47651584"/>
        <c:crosses val="autoZero"/>
        <c:crossBetween val="midCat"/>
        <c:majorUnit val="100"/>
      </c:valAx>
      <c:spPr>
        <a:solidFill>
          <a:srgbClr val="F7F3DD"/>
        </a:solidFill>
        <a:ln w="25400">
          <a:noFill/>
        </a:ln>
      </c:spPr>
    </c:plotArea>
    <c:plotVisOnly val="1"/>
    <c:dispBlanksAs val="gap"/>
    <c:showDLblsOverMax val="0"/>
  </c:chart>
  <c:spPr>
    <a:solidFill>
      <a:srgbClr val="E5E9F0"/>
    </a:solidFill>
    <a:ln w="3175">
      <a:solidFill>
        <a:srgbClr val="002469"/>
      </a:solidFill>
      <a:prstDash val="solid"/>
    </a:ln>
  </c:spPr>
  <c:txPr>
    <a:bodyPr/>
    <a:lstStyle/>
    <a:p>
      <a:pPr>
        <a:defRPr sz="500" b="0" i="0" u="none" strike="noStrike" baseline="0">
          <a:solidFill>
            <a:srgbClr val="000000"/>
          </a:solidFill>
          <a:latin typeface="Technical"/>
          <a:ea typeface="Technical"/>
          <a:cs typeface="Technic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2007096902113343E-2"/>
          <c:y val="3.7267261584149766E-2"/>
          <c:w val="0.92765672325500304"/>
          <c:h val="0.92795481344532926"/>
        </c:manualLayout>
      </c:layout>
      <c:scatterChart>
        <c:scatterStyle val="lineMarker"/>
        <c:varyColors val="0"/>
        <c:ser>
          <c:idx val="1"/>
          <c:order val="0"/>
          <c:tx>
            <c:strRef>
              <c:f>Gra!$B$61</c:f>
              <c:strCache>
                <c:ptCount val="1"/>
                <c:pt idx="0">
                  <c:v>E-W1</c:v>
                </c:pt>
              </c:strCache>
            </c:strRef>
          </c:tx>
          <c:spPr>
            <a:ln w="25400">
              <a:solidFill>
                <a:srgbClr val="993300"/>
              </a:solidFill>
              <a:prstDash val="solid"/>
            </a:ln>
          </c:spPr>
          <c:marker>
            <c:symbol val="none"/>
          </c:marker>
          <c:xVal>
            <c:numRef>
              <c:f>Gra!$I$61:$M$61</c:f>
              <c:numCache>
                <c:formatCode>0.0</c:formatCode>
                <c:ptCount val="5"/>
                <c:pt idx="0">
                  <c:v>0</c:v>
                </c:pt>
                <c:pt idx="1">
                  <c:v>0</c:v>
                </c:pt>
                <c:pt idx="3">
                  <c:v>0</c:v>
                </c:pt>
                <c:pt idx="4">
                  <c:v>0</c:v>
                </c:pt>
              </c:numCache>
            </c:numRef>
          </c:xVal>
          <c:yVal>
            <c:numRef>
              <c:f>Gra!$I$62:$M$62</c:f>
              <c:numCache>
                <c:formatCode>0.0</c:formatCode>
                <c:ptCount val="5"/>
                <c:pt idx="0">
                  <c:v>0</c:v>
                </c:pt>
                <c:pt idx="1">
                  <c:v>0</c:v>
                </c:pt>
                <c:pt idx="3">
                  <c:v>0</c:v>
                </c:pt>
                <c:pt idx="4">
                  <c:v>0</c:v>
                </c:pt>
              </c:numCache>
            </c:numRef>
          </c:yVal>
          <c:smooth val="0"/>
          <c:extLst>
            <c:ext xmlns:c16="http://schemas.microsoft.com/office/drawing/2014/chart" uri="{C3380CC4-5D6E-409C-BE32-E72D297353CC}">
              <c16:uniqueId val="{00000000-C99D-48EA-9D07-B5E62F7C5522}"/>
            </c:ext>
          </c:extLst>
        </c:ser>
        <c:ser>
          <c:idx val="2"/>
          <c:order val="1"/>
          <c:tx>
            <c:strRef>
              <c:f>Gra!$B$63</c:f>
              <c:strCache>
                <c:ptCount val="1"/>
                <c:pt idx="0">
                  <c:v>E-W2</c:v>
                </c:pt>
              </c:strCache>
            </c:strRef>
          </c:tx>
          <c:spPr>
            <a:ln w="25400">
              <a:solidFill>
                <a:srgbClr val="993300"/>
              </a:solidFill>
              <a:prstDash val="solid"/>
            </a:ln>
          </c:spPr>
          <c:marker>
            <c:symbol val="none"/>
          </c:marker>
          <c:xVal>
            <c:numRef>
              <c:f>Gra!$I$63:$M$63</c:f>
              <c:numCache>
                <c:formatCode>0.0</c:formatCode>
                <c:ptCount val="5"/>
                <c:pt idx="0">
                  <c:v>0</c:v>
                </c:pt>
                <c:pt idx="1">
                  <c:v>0</c:v>
                </c:pt>
                <c:pt idx="3">
                  <c:v>0</c:v>
                </c:pt>
                <c:pt idx="4">
                  <c:v>0</c:v>
                </c:pt>
              </c:numCache>
            </c:numRef>
          </c:xVal>
          <c:yVal>
            <c:numRef>
              <c:f>Gra!$I$64:$M$64</c:f>
              <c:numCache>
                <c:formatCode>0.0</c:formatCode>
                <c:ptCount val="5"/>
                <c:pt idx="0">
                  <c:v>0</c:v>
                </c:pt>
                <c:pt idx="1">
                  <c:v>0</c:v>
                </c:pt>
                <c:pt idx="3">
                  <c:v>0</c:v>
                </c:pt>
                <c:pt idx="4">
                  <c:v>0</c:v>
                </c:pt>
              </c:numCache>
            </c:numRef>
          </c:yVal>
          <c:smooth val="0"/>
          <c:extLst>
            <c:ext xmlns:c16="http://schemas.microsoft.com/office/drawing/2014/chart" uri="{C3380CC4-5D6E-409C-BE32-E72D297353CC}">
              <c16:uniqueId val="{00000001-C99D-48EA-9D07-B5E62F7C5522}"/>
            </c:ext>
          </c:extLst>
        </c:ser>
        <c:ser>
          <c:idx val="3"/>
          <c:order val="2"/>
          <c:tx>
            <c:strRef>
              <c:f>Gra!$B$65</c:f>
              <c:strCache>
                <c:ptCount val="1"/>
                <c:pt idx="0">
                  <c:v>N-S</c:v>
                </c:pt>
              </c:strCache>
            </c:strRef>
          </c:tx>
          <c:spPr>
            <a:ln w="25400">
              <a:solidFill>
                <a:srgbClr val="993300"/>
              </a:solidFill>
              <a:prstDash val="solid"/>
            </a:ln>
          </c:spPr>
          <c:marker>
            <c:symbol val="none"/>
          </c:marker>
          <c:xVal>
            <c:numRef>
              <c:f>Gra!$I$65:$J$65</c:f>
              <c:numCache>
                <c:formatCode>0.0</c:formatCode>
                <c:ptCount val="2"/>
                <c:pt idx="0">
                  <c:v>0</c:v>
                </c:pt>
                <c:pt idx="1">
                  <c:v>0</c:v>
                </c:pt>
              </c:numCache>
            </c:numRef>
          </c:xVal>
          <c:yVal>
            <c:numRef>
              <c:f>Gra!$I$66:$J$66</c:f>
              <c:numCache>
                <c:formatCode>0.0</c:formatCode>
                <c:ptCount val="2"/>
                <c:pt idx="0">
                  <c:v>0</c:v>
                </c:pt>
                <c:pt idx="1">
                  <c:v>0</c:v>
                </c:pt>
              </c:numCache>
            </c:numRef>
          </c:yVal>
          <c:smooth val="0"/>
          <c:extLst>
            <c:ext xmlns:c16="http://schemas.microsoft.com/office/drawing/2014/chart" uri="{C3380CC4-5D6E-409C-BE32-E72D297353CC}">
              <c16:uniqueId val="{00000002-C99D-48EA-9D07-B5E62F7C5522}"/>
            </c:ext>
          </c:extLst>
        </c:ser>
        <c:ser>
          <c:idx val="4"/>
          <c:order val="3"/>
          <c:tx>
            <c:strRef>
              <c:f>Gra!$B$67</c:f>
              <c:strCache>
                <c:ptCount val="1"/>
                <c:pt idx="0">
                  <c:v>SW+SE</c:v>
                </c:pt>
              </c:strCache>
            </c:strRef>
          </c:tx>
          <c:spPr>
            <a:ln w="25400">
              <a:solidFill>
                <a:srgbClr val="993300"/>
              </a:solidFill>
              <a:prstDash val="solid"/>
            </a:ln>
          </c:spPr>
          <c:marker>
            <c:symbol val="none"/>
          </c:marker>
          <c:xVal>
            <c:numRef>
              <c:f>Gra!$I$67:$M$67</c:f>
              <c:numCache>
                <c:formatCode>0.0</c:formatCode>
                <c:ptCount val="5"/>
                <c:pt idx="0">
                  <c:v>0</c:v>
                </c:pt>
                <c:pt idx="1">
                  <c:v>0</c:v>
                </c:pt>
                <c:pt idx="3">
                  <c:v>0</c:v>
                </c:pt>
                <c:pt idx="4">
                  <c:v>0</c:v>
                </c:pt>
              </c:numCache>
            </c:numRef>
          </c:xVal>
          <c:yVal>
            <c:numRef>
              <c:f>Gra!$I$68:$M$68</c:f>
              <c:numCache>
                <c:formatCode>0.0</c:formatCode>
                <c:ptCount val="5"/>
                <c:pt idx="0">
                  <c:v>0</c:v>
                </c:pt>
                <c:pt idx="1">
                  <c:v>0</c:v>
                </c:pt>
                <c:pt idx="3">
                  <c:v>0</c:v>
                </c:pt>
                <c:pt idx="4">
                  <c:v>0</c:v>
                </c:pt>
              </c:numCache>
            </c:numRef>
          </c:yVal>
          <c:smooth val="0"/>
          <c:extLst>
            <c:ext xmlns:c16="http://schemas.microsoft.com/office/drawing/2014/chart" uri="{C3380CC4-5D6E-409C-BE32-E72D297353CC}">
              <c16:uniqueId val="{00000003-C99D-48EA-9D07-B5E62F7C5522}"/>
            </c:ext>
          </c:extLst>
        </c:ser>
        <c:ser>
          <c:idx val="5"/>
          <c:order val="4"/>
          <c:tx>
            <c:strRef>
              <c:f>Gra!$B$69</c:f>
              <c:strCache>
                <c:ptCount val="1"/>
                <c:pt idx="0">
                  <c:v>WSW+ESE</c:v>
                </c:pt>
              </c:strCache>
            </c:strRef>
          </c:tx>
          <c:spPr>
            <a:ln w="25400">
              <a:solidFill>
                <a:srgbClr val="993300"/>
              </a:solidFill>
              <a:prstDash val="solid"/>
            </a:ln>
          </c:spPr>
          <c:marker>
            <c:symbol val="none"/>
          </c:marker>
          <c:xVal>
            <c:numRef>
              <c:f>Gra!$I$69:$M$69</c:f>
              <c:numCache>
                <c:formatCode>0.0</c:formatCode>
                <c:ptCount val="5"/>
                <c:pt idx="0">
                  <c:v>0</c:v>
                </c:pt>
                <c:pt idx="1">
                  <c:v>0</c:v>
                </c:pt>
                <c:pt idx="3">
                  <c:v>0</c:v>
                </c:pt>
                <c:pt idx="4">
                  <c:v>0</c:v>
                </c:pt>
              </c:numCache>
            </c:numRef>
          </c:xVal>
          <c:yVal>
            <c:numRef>
              <c:f>Gra!$I$70:$M$70</c:f>
              <c:numCache>
                <c:formatCode>0.0</c:formatCode>
                <c:ptCount val="5"/>
                <c:pt idx="0">
                  <c:v>0</c:v>
                </c:pt>
                <c:pt idx="1">
                  <c:v>0</c:v>
                </c:pt>
                <c:pt idx="3">
                  <c:v>0</c:v>
                </c:pt>
                <c:pt idx="4">
                  <c:v>0</c:v>
                </c:pt>
              </c:numCache>
            </c:numRef>
          </c:yVal>
          <c:smooth val="0"/>
          <c:extLst>
            <c:ext xmlns:c16="http://schemas.microsoft.com/office/drawing/2014/chart" uri="{C3380CC4-5D6E-409C-BE32-E72D297353CC}">
              <c16:uniqueId val="{00000004-C99D-48EA-9D07-B5E62F7C5522}"/>
            </c:ext>
          </c:extLst>
        </c:ser>
        <c:ser>
          <c:idx val="6"/>
          <c:order val="5"/>
          <c:tx>
            <c:strRef>
              <c:f>Gra!$B$71</c:f>
              <c:strCache>
                <c:ptCount val="1"/>
                <c:pt idx="0">
                  <c:v>SSW+SSE</c:v>
                </c:pt>
              </c:strCache>
            </c:strRef>
          </c:tx>
          <c:spPr>
            <a:ln w="25400">
              <a:solidFill>
                <a:srgbClr val="993300"/>
              </a:solidFill>
              <a:prstDash val="solid"/>
            </a:ln>
          </c:spPr>
          <c:marker>
            <c:symbol val="none"/>
          </c:marker>
          <c:xVal>
            <c:numRef>
              <c:f>Gra!$I$71:$M$71</c:f>
              <c:numCache>
                <c:formatCode>0.0</c:formatCode>
                <c:ptCount val="5"/>
                <c:pt idx="0">
                  <c:v>0</c:v>
                </c:pt>
                <c:pt idx="1">
                  <c:v>0</c:v>
                </c:pt>
                <c:pt idx="3">
                  <c:v>0</c:v>
                </c:pt>
                <c:pt idx="4">
                  <c:v>0</c:v>
                </c:pt>
              </c:numCache>
            </c:numRef>
          </c:xVal>
          <c:yVal>
            <c:numRef>
              <c:f>Gra!$I$72:$M$72</c:f>
              <c:numCache>
                <c:formatCode>0.0</c:formatCode>
                <c:ptCount val="5"/>
                <c:pt idx="0">
                  <c:v>0</c:v>
                </c:pt>
                <c:pt idx="1">
                  <c:v>0</c:v>
                </c:pt>
                <c:pt idx="3">
                  <c:v>0</c:v>
                </c:pt>
                <c:pt idx="4">
                  <c:v>0</c:v>
                </c:pt>
              </c:numCache>
            </c:numRef>
          </c:yVal>
          <c:smooth val="0"/>
          <c:extLst>
            <c:ext xmlns:c16="http://schemas.microsoft.com/office/drawing/2014/chart" uri="{C3380CC4-5D6E-409C-BE32-E72D297353CC}">
              <c16:uniqueId val="{00000005-C99D-48EA-9D07-B5E62F7C5522}"/>
            </c:ext>
          </c:extLst>
        </c:ser>
        <c:ser>
          <c:idx val="7"/>
          <c:order val="6"/>
          <c:tx>
            <c:v>B~EW</c:v>
          </c:tx>
          <c:spPr>
            <a:ln w="25400">
              <a:solidFill>
                <a:srgbClr val="993300"/>
              </a:solidFill>
              <a:prstDash val="solid"/>
            </a:ln>
          </c:spPr>
          <c:marker>
            <c:symbol val="none"/>
          </c:marker>
          <c:xVal>
            <c:numRef>
              <c:f>(Gra!$I$73:$N$73,Gra!$I$73:$N$73,Gra!$I$73:$N$73,Gra!$I$77:$N$77,Gra!$I$79:$N$79,Gra!$I$81:$M$81)</c:f>
              <c:numCache>
                <c:formatCode>0.0</c:formatCode>
                <c:ptCount val="35"/>
                <c:pt idx="0">
                  <c:v>-375</c:v>
                </c:pt>
                <c:pt idx="1">
                  <c:v>-95</c:v>
                </c:pt>
                <c:pt idx="3">
                  <c:v>395</c:v>
                </c:pt>
                <c:pt idx="4">
                  <c:v>675</c:v>
                </c:pt>
                <c:pt idx="6">
                  <c:v>-375</c:v>
                </c:pt>
                <c:pt idx="7">
                  <c:v>-95</c:v>
                </c:pt>
                <c:pt idx="9">
                  <c:v>395</c:v>
                </c:pt>
                <c:pt idx="10">
                  <c:v>675</c:v>
                </c:pt>
                <c:pt idx="12">
                  <c:v>-375</c:v>
                </c:pt>
                <c:pt idx="13">
                  <c:v>-95</c:v>
                </c:pt>
                <c:pt idx="15">
                  <c:v>395</c:v>
                </c:pt>
                <c:pt idx="16">
                  <c:v>675</c:v>
                </c:pt>
                <c:pt idx="18">
                  <c:v>-375</c:v>
                </c:pt>
                <c:pt idx="19">
                  <c:v>-95</c:v>
                </c:pt>
                <c:pt idx="21">
                  <c:v>395</c:v>
                </c:pt>
                <c:pt idx="22">
                  <c:v>675</c:v>
                </c:pt>
                <c:pt idx="24">
                  <c:v>-375</c:v>
                </c:pt>
                <c:pt idx="25">
                  <c:v>-95</c:v>
                </c:pt>
                <c:pt idx="27">
                  <c:v>395</c:v>
                </c:pt>
                <c:pt idx="28">
                  <c:v>675</c:v>
                </c:pt>
                <c:pt idx="30">
                  <c:v>-375</c:v>
                </c:pt>
                <c:pt idx="31">
                  <c:v>-95</c:v>
                </c:pt>
                <c:pt idx="33">
                  <c:v>395</c:v>
                </c:pt>
                <c:pt idx="34">
                  <c:v>675</c:v>
                </c:pt>
              </c:numCache>
            </c:numRef>
          </c:xVal>
          <c:yVal>
            <c:numRef>
              <c:f>(Gra!$I$74:$N$74,Gra!$I$75:$N$75,Gra!$I$76:$N$76,Gra!$I$78:$N$78,Gra!$I$80:$N$80,Gra!$I$82:$M$82)</c:f>
              <c:numCache>
                <c:formatCode>0.0</c:formatCode>
                <c:ptCount val="35"/>
                <c:pt idx="0">
                  <c:v>-40</c:v>
                </c:pt>
                <c:pt idx="1">
                  <c:v>-40</c:v>
                </c:pt>
                <c:pt idx="3">
                  <c:v>-40</c:v>
                </c:pt>
                <c:pt idx="4">
                  <c:v>-40</c:v>
                </c:pt>
                <c:pt idx="6">
                  <c:v>1160</c:v>
                </c:pt>
                <c:pt idx="7">
                  <c:v>1160</c:v>
                </c:pt>
                <c:pt idx="9">
                  <c:v>1160</c:v>
                </c:pt>
                <c:pt idx="10">
                  <c:v>1160</c:v>
                </c:pt>
                <c:pt idx="12">
                  <c:v>200</c:v>
                </c:pt>
                <c:pt idx="13">
                  <c:v>200</c:v>
                </c:pt>
                <c:pt idx="15">
                  <c:v>200</c:v>
                </c:pt>
                <c:pt idx="16">
                  <c:v>200</c:v>
                </c:pt>
                <c:pt idx="18">
                  <c:v>440</c:v>
                </c:pt>
                <c:pt idx="19">
                  <c:v>440</c:v>
                </c:pt>
                <c:pt idx="21">
                  <c:v>440</c:v>
                </c:pt>
                <c:pt idx="22">
                  <c:v>440</c:v>
                </c:pt>
                <c:pt idx="24">
                  <c:v>680</c:v>
                </c:pt>
                <c:pt idx="25">
                  <c:v>680</c:v>
                </c:pt>
                <c:pt idx="27">
                  <c:v>680</c:v>
                </c:pt>
                <c:pt idx="28">
                  <c:v>680</c:v>
                </c:pt>
                <c:pt idx="30">
                  <c:v>920</c:v>
                </c:pt>
                <c:pt idx="31">
                  <c:v>920</c:v>
                </c:pt>
                <c:pt idx="33">
                  <c:v>920</c:v>
                </c:pt>
                <c:pt idx="34">
                  <c:v>920</c:v>
                </c:pt>
              </c:numCache>
            </c:numRef>
          </c:yVal>
          <c:smooth val="0"/>
          <c:extLst>
            <c:ext xmlns:c16="http://schemas.microsoft.com/office/drawing/2014/chart" uri="{C3380CC4-5D6E-409C-BE32-E72D297353CC}">
              <c16:uniqueId val="{00000006-C99D-48EA-9D07-B5E62F7C5522}"/>
            </c:ext>
          </c:extLst>
        </c:ser>
        <c:ser>
          <c:idx val="11"/>
          <c:order val="7"/>
          <c:tx>
            <c:v>Edge</c:v>
          </c:tx>
          <c:spPr>
            <a:ln w="12700">
              <a:solidFill>
                <a:srgbClr val="002469"/>
              </a:solidFill>
              <a:prstDash val="solid"/>
            </a:ln>
          </c:spPr>
          <c:marker>
            <c:symbol val="none"/>
          </c:marker>
          <c:xVal>
            <c:numRef>
              <c:f>Gra!$C$89:$D$89</c:f>
              <c:numCache>
                <c:formatCode>General</c:formatCode>
                <c:ptCount val="2"/>
                <c:pt idx="0">
                  <c:v>-471.5</c:v>
                </c:pt>
                <c:pt idx="1">
                  <c:v>771.5</c:v>
                </c:pt>
              </c:numCache>
            </c:numRef>
          </c:xVal>
          <c:yVal>
            <c:numRef>
              <c:f>Gra!$C$90:$D$90</c:f>
              <c:numCache>
                <c:formatCode>General</c:formatCode>
                <c:ptCount val="2"/>
                <c:pt idx="0">
                  <c:v>1200</c:v>
                </c:pt>
                <c:pt idx="1">
                  <c:v>1200</c:v>
                </c:pt>
              </c:numCache>
            </c:numRef>
          </c:yVal>
          <c:smooth val="0"/>
          <c:extLst>
            <c:ext xmlns:c16="http://schemas.microsoft.com/office/drawing/2014/chart" uri="{C3380CC4-5D6E-409C-BE32-E72D297353CC}">
              <c16:uniqueId val="{00000007-C99D-48EA-9D07-B5E62F7C5522}"/>
            </c:ext>
          </c:extLst>
        </c:ser>
        <c:ser>
          <c:idx val="0"/>
          <c:order val="8"/>
          <c:tx>
            <c:v>column</c:v>
          </c:tx>
          <c:spPr>
            <a:ln w="38100">
              <a:solidFill>
                <a:srgbClr val="000000"/>
              </a:solidFill>
              <a:prstDash val="solid"/>
            </a:ln>
          </c:spPr>
          <c:marker>
            <c:symbol val="none"/>
          </c:marker>
          <c:xVal>
            <c:numRef>
              <c:f>Gra!$C$59:$G$59</c:f>
              <c:numCache>
                <c:formatCode>General</c:formatCode>
                <c:ptCount val="5"/>
                <c:pt idx="0">
                  <c:v>0</c:v>
                </c:pt>
                <c:pt idx="1">
                  <c:v>0</c:v>
                </c:pt>
                <c:pt idx="2">
                  <c:v>300</c:v>
                </c:pt>
                <c:pt idx="3">
                  <c:v>300</c:v>
                </c:pt>
                <c:pt idx="4">
                  <c:v>0</c:v>
                </c:pt>
              </c:numCache>
            </c:numRef>
          </c:xVal>
          <c:yVal>
            <c:numRef>
              <c:f>Gra!$C$60:$G$60</c:f>
              <c:numCache>
                <c:formatCode>General</c:formatCode>
                <c:ptCount val="5"/>
                <c:pt idx="0">
                  <c:v>0</c:v>
                </c:pt>
                <c:pt idx="1">
                  <c:v>1200</c:v>
                </c:pt>
                <c:pt idx="2">
                  <c:v>1200</c:v>
                </c:pt>
                <c:pt idx="3">
                  <c:v>0</c:v>
                </c:pt>
                <c:pt idx="4">
                  <c:v>0</c:v>
                </c:pt>
              </c:numCache>
            </c:numRef>
          </c:yVal>
          <c:smooth val="0"/>
          <c:extLst>
            <c:ext xmlns:c16="http://schemas.microsoft.com/office/drawing/2014/chart" uri="{C3380CC4-5D6E-409C-BE32-E72D297353CC}">
              <c16:uniqueId val="{00000008-C99D-48EA-9D07-B5E62F7C5522}"/>
            </c:ext>
          </c:extLst>
        </c:ser>
        <c:ser>
          <c:idx val="12"/>
          <c:order val="9"/>
          <c:tx>
            <c:v>sqareit</c:v>
          </c:tx>
          <c:spPr>
            <a:ln w="12700">
              <a:solidFill>
                <a:srgbClr val="BAC0D9"/>
              </a:solidFill>
              <a:prstDash val="solid"/>
            </a:ln>
          </c:spPr>
          <c:marker>
            <c:symbol val="none"/>
          </c:marker>
          <c:xVal>
            <c:numRef>
              <c:f>Gra!$O$79</c:f>
              <c:numCache>
                <c:formatCode>General</c:formatCode>
                <c:ptCount val="1"/>
                <c:pt idx="0">
                  <c:v>1103.5</c:v>
                </c:pt>
              </c:numCache>
            </c:numRef>
          </c:xVal>
          <c:yVal>
            <c:numRef>
              <c:f>Gra!$O$80</c:f>
              <c:numCache>
                <c:formatCode>General</c:formatCode>
                <c:ptCount val="1"/>
                <c:pt idx="0">
                  <c:v>1200</c:v>
                </c:pt>
              </c:numCache>
            </c:numRef>
          </c:yVal>
          <c:smooth val="0"/>
          <c:extLst>
            <c:ext xmlns:c16="http://schemas.microsoft.com/office/drawing/2014/chart" uri="{C3380CC4-5D6E-409C-BE32-E72D297353CC}">
              <c16:uniqueId val="{00000009-C99D-48EA-9D07-B5E62F7C5522}"/>
            </c:ext>
          </c:extLst>
        </c:ser>
        <c:ser>
          <c:idx val="13"/>
          <c:order val="10"/>
          <c:tx>
            <c:v>hole</c:v>
          </c:tx>
          <c:spPr>
            <a:ln w="25400">
              <a:solidFill>
                <a:srgbClr val="0000FF"/>
              </a:solidFill>
              <a:prstDash val="solid"/>
            </a:ln>
          </c:spPr>
          <c:marker>
            <c:symbol val="none"/>
          </c:marker>
          <c:xVal>
            <c:numRef>
              <c:f>Gra!$C$91:$G$91</c:f>
              <c:numCache>
                <c:formatCode>General</c:formatCode>
                <c:ptCount val="5"/>
                <c:pt idx="0">
                  <c:v>150</c:v>
                </c:pt>
                <c:pt idx="1">
                  <c:v>150</c:v>
                </c:pt>
                <c:pt idx="2">
                  <c:v>150</c:v>
                </c:pt>
                <c:pt idx="3">
                  <c:v>150</c:v>
                </c:pt>
                <c:pt idx="4">
                  <c:v>150</c:v>
                </c:pt>
              </c:numCache>
            </c:numRef>
          </c:xVal>
          <c:yVal>
            <c:numRef>
              <c:f>Gra!$C$92:$G$92</c:f>
              <c:numCache>
                <c:formatCode>General</c:formatCode>
                <c:ptCount val="5"/>
                <c:pt idx="0">
                  <c:v>600</c:v>
                </c:pt>
                <c:pt idx="1">
                  <c:v>600</c:v>
                </c:pt>
                <c:pt idx="2">
                  <c:v>600</c:v>
                </c:pt>
                <c:pt idx="3">
                  <c:v>600</c:v>
                </c:pt>
                <c:pt idx="4">
                  <c:v>600</c:v>
                </c:pt>
              </c:numCache>
            </c:numRef>
          </c:yVal>
          <c:smooth val="0"/>
          <c:extLst>
            <c:ext xmlns:c16="http://schemas.microsoft.com/office/drawing/2014/chart" uri="{C3380CC4-5D6E-409C-BE32-E72D297353CC}">
              <c16:uniqueId val="{0000000A-C99D-48EA-9D07-B5E62F7C5522}"/>
            </c:ext>
          </c:extLst>
        </c:ser>
        <c:ser>
          <c:idx val="14"/>
          <c:order val="11"/>
          <c:tx>
            <c:v>cross</c:v>
          </c:tx>
          <c:spPr>
            <a:ln w="12700">
              <a:solidFill>
                <a:srgbClr val="0000FF"/>
              </a:solidFill>
              <a:prstDash val="solid"/>
            </a:ln>
          </c:spPr>
          <c:marker>
            <c:symbol val="none"/>
          </c:marker>
          <c:xVal>
            <c:numRef>
              <c:f>Gra!$I$91:$M$91</c:f>
              <c:numCache>
                <c:formatCode>General</c:formatCode>
                <c:ptCount val="5"/>
                <c:pt idx="0">
                  <c:v>150</c:v>
                </c:pt>
                <c:pt idx="1">
                  <c:v>150</c:v>
                </c:pt>
                <c:pt idx="3">
                  <c:v>150</c:v>
                </c:pt>
                <c:pt idx="4">
                  <c:v>150</c:v>
                </c:pt>
              </c:numCache>
            </c:numRef>
          </c:xVal>
          <c:yVal>
            <c:numRef>
              <c:f>Gra!$I$92:$M$92</c:f>
              <c:numCache>
                <c:formatCode>General</c:formatCode>
                <c:ptCount val="5"/>
                <c:pt idx="0">
                  <c:v>600</c:v>
                </c:pt>
                <c:pt idx="1">
                  <c:v>600</c:v>
                </c:pt>
                <c:pt idx="3">
                  <c:v>600</c:v>
                </c:pt>
                <c:pt idx="4">
                  <c:v>600</c:v>
                </c:pt>
              </c:numCache>
            </c:numRef>
          </c:yVal>
          <c:smooth val="0"/>
          <c:extLst>
            <c:ext xmlns:c16="http://schemas.microsoft.com/office/drawing/2014/chart" uri="{C3380CC4-5D6E-409C-BE32-E72D297353CC}">
              <c16:uniqueId val="{0000000B-C99D-48EA-9D07-B5E62F7C5522}"/>
            </c:ext>
          </c:extLst>
        </c:ser>
        <c:ser>
          <c:idx val="8"/>
          <c:order val="12"/>
          <c:tx>
            <c:v>B~NS</c:v>
          </c:tx>
          <c:spPr>
            <a:ln w="25400">
              <a:solidFill>
                <a:srgbClr val="993300"/>
              </a:solidFill>
              <a:prstDash val="solid"/>
            </a:ln>
          </c:spPr>
          <c:marker>
            <c:symbol val="none"/>
          </c:marker>
          <c:xVal>
            <c:numRef>
              <c:f>(Gra!$I$83:$N$83,Gra!$I$85:$N$85,Gra!$I$87:$M$87)</c:f>
              <c:numCache>
                <c:formatCode>0.0</c:formatCode>
                <c:ptCount val="17"/>
                <c:pt idx="0">
                  <c:v>-40</c:v>
                </c:pt>
                <c:pt idx="1">
                  <c:v>-40</c:v>
                </c:pt>
                <c:pt idx="3">
                  <c:v>340</c:v>
                </c:pt>
                <c:pt idx="4">
                  <c:v>340</c:v>
                </c:pt>
                <c:pt idx="6">
                  <c:v>0</c:v>
                </c:pt>
                <c:pt idx="7">
                  <c:v>0</c:v>
                </c:pt>
                <c:pt idx="9">
                  <c:v>0</c:v>
                </c:pt>
                <c:pt idx="10">
                  <c:v>0</c:v>
                </c:pt>
                <c:pt idx="12">
                  <c:v>0</c:v>
                </c:pt>
                <c:pt idx="13">
                  <c:v>0</c:v>
                </c:pt>
                <c:pt idx="15">
                  <c:v>150</c:v>
                </c:pt>
                <c:pt idx="16">
                  <c:v>150</c:v>
                </c:pt>
              </c:numCache>
            </c:numRef>
          </c:xVal>
          <c:yVal>
            <c:numRef>
              <c:f>(Gra!$I$84:$N$84,Gra!$I$86:$N$86,Gra!$I$88:$M$88)</c:f>
              <c:numCache>
                <c:formatCode>0.0</c:formatCode>
                <c:ptCount val="17"/>
                <c:pt idx="0">
                  <c:v>-95</c:v>
                </c:pt>
                <c:pt idx="1">
                  <c:v>-375</c:v>
                </c:pt>
                <c:pt idx="3">
                  <c:v>-95</c:v>
                </c:pt>
                <c:pt idx="4">
                  <c:v>-375</c:v>
                </c:pt>
                <c:pt idx="6">
                  <c:v>0</c:v>
                </c:pt>
                <c:pt idx="7">
                  <c:v>0</c:v>
                </c:pt>
                <c:pt idx="9">
                  <c:v>0</c:v>
                </c:pt>
                <c:pt idx="10">
                  <c:v>0</c:v>
                </c:pt>
                <c:pt idx="12">
                  <c:v>0</c:v>
                </c:pt>
                <c:pt idx="13">
                  <c:v>0</c:v>
                </c:pt>
                <c:pt idx="15">
                  <c:v>-95</c:v>
                </c:pt>
                <c:pt idx="16">
                  <c:v>-375</c:v>
                </c:pt>
              </c:numCache>
            </c:numRef>
          </c:yVal>
          <c:smooth val="0"/>
          <c:extLst>
            <c:ext xmlns:c16="http://schemas.microsoft.com/office/drawing/2014/chart" uri="{C3380CC4-5D6E-409C-BE32-E72D297353CC}">
              <c16:uniqueId val="{0000000C-C99D-48EA-9D07-B5E62F7C5522}"/>
            </c:ext>
          </c:extLst>
        </c:ser>
        <c:ser>
          <c:idx val="9"/>
          <c:order val="13"/>
          <c:tx>
            <c:v>Extra</c:v>
          </c:tx>
          <c:spPr>
            <a:ln w="25400">
              <a:solidFill>
                <a:srgbClr val="339966"/>
              </a:solidFill>
              <a:prstDash val="solid"/>
            </a:ln>
          </c:spPr>
          <c:marker>
            <c:symbol val="none"/>
          </c:marker>
          <c:xVal>
            <c:numRef>
              <c:f>(Gra!$C$95:$N$95,Gra!$C$99:$G$99)</c:f>
              <c:numCache>
                <c:formatCode>0.0</c:formatCode>
                <c:ptCount val="17"/>
                <c:pt idx="0">
                  <c:v>0</c:v>
                </c:pt>
                <c:pt idx="1">
                  <c:v>0</c:v>
                </c:pt>
                <c:pt idx="3">
                  <c:v>0</c:v>
                </c:pt>
                <c:pt idx="4">
                  <c:v>0</c:v>
                </c:pt>
                <c:pt idx="6">
                  <c:v>0</c:v>
                </c:pt>
                <c:pt idx="7">
                  <c:v>0</c:v>
                </c:pt>
                <c:pt idx="9">
                  <c:v>0</c:v>
                </c:pt>
                <c:pt idx="10">
                  <c:v>0</c:v>
                </c:pt>
                <c:pt idx="12">
                  <c:v>0</c:v>
                </c:pt>
                <c:pt idx="13">
                  <c:v>0</c:v>
                </c:pt>
                <c:pt idx="15">
                  <c:v>0</c:v>
                </c:pt>
                <c:pt idx="16">
                  <c:v>0</c:v>
                </c:pt>
              </c:numCache>
            </c:numRef>
          </c:xVal>
          <c:yVal>
            <c:numRef>
              <c:f>(Gra!$C$96:$N$96,Gra!$C$100:$G$100)</c:f>
              <c:numCache>
                <c:formatCode>0.0</c:formatCode>
                <c:ptCount val="17"/>
                <c:pt idx="0">
                  <c:v>0</c:v>
                </c:pt>
                <c:pt idx="1">
                  <c:v>0</c:v>
                </c:pt>
                <c:pt idx="3">
                  <c:v>0</c:v>
                </c:pt>
                <c:pt idx="4">
                  <c:v>0</c:v>
                </c:pt>
                <c:pt idx="6">
                  <c:v>0</c:v>
                </c:pt>
                <c:pt idx="7">
                  <c:v>0</c:v>
                </c:pt>
                <c:pt idx="9">
                  <c:v>0</c:v>
                </c:pt>
                <c:pt idx="10">
                  <c:v>0</c:v>
                </c:pt>
                <c:pt idx="12">
                  <c:v>0</c:v>
                </c:pt>
                <c:pt idx="13">
                  <c:v>0</c:v>
                </c:pt>
                <c:pt idx="15">
                  <c:v>0</c:v>
                </c:pt>
                <c:pt idx="16">
                  <c:v>0</c:v>
                </c:pt>
              </c:numCache>
            </c:numRef>
          </c:yVal>
          <c:smooth val="0"/>
          <c:extLst>
            <c:ext xmlns:c16="http://schemas.microsoft.com/office/drawing/2014/chart" uri="{C3380CC4-5D6E-409C-BE32-E72D297353CC}">
              <c16:uniqueId val="{0000000D-C99D-48EA-9D07-B5E62F7C5522}"/>
            </c:ext>
          </c:extLst>
        </c:ser>
        <c:ser>
          <c:idx val="10"/>
          <c:order val="14"/>
          <c:tx>
            <c:strRef>
              <c:f>EDGE!$N$43</c:f>
              <c:strCache>
                <c:ptCount val="1"/>
                <c:pt idx="0">
                  <c:v>Blockout</c:v>
                </c:pt>
              </c:strCache>
            </c:strRef>
          </c:tx>
          <c:spPr>
            <a:ln w="19050">
              <a:solidFill>
                <a:schemeClr val="bg1">
                  <a:lumMod val="50000"/>
                </a:schemeClr>
              </a:solidFill>
              <a:prstDash val="sysDash"/>
            </a:ln>
          </c:spPr>
          <c:marker>
            <c:symbol val="none"/>
          </c:marker>
          <c:xVal>
            <c:numRef>
              <c:f>EDGE!$N$47:$P$47</c:f>
              <c:numCache>
                <c:formatCode>General</c:formatCode>
                <c:ptCount val="3"/>
                <c:pt idx="0">
                  <c:v>150</c:v>
                </c:pt>
                <c:pt idx="1">
                  <c:v>150</c:v>
                </c:pt>
                <c:pt idx="2">
                  <c:v>150</c:v>
                </c:pt>
              </c:numCache>
            </c:numRef>
          </c:xVal>
          <c:yVal>
            <c:numRef>
              <c:f>EDGE!$N$48:$P$48</c:f>
              <c:numCache>
                <c:formatCode>General</c:formatCode>
                <c:ptCount val="3"/>
                <c:pt idx="0">
                  <c:v>600</c:v>
                </c:pt>
                <c:pt idx="1">
                  <c:v>600</c:v>
                </c:pt>
                <c:pt idx="2">
                  <c:v>600</c:v>
                </c:pt>
              </c:numCache>
            </c:numRef>
          </c:yVal>
          <c:smooth val="0"/>
          <c:extLst>
            <c:ext xmlns:c16="http://schemas.microsoft.com/office/drawing/2014/chart" uri="{C3380CC4-5D6E-409C-BE32-E72D297353CC}">
              <c16:uniqueId val="{0000000E-C99D-48EA-9D07-B5E62F7C5522}"/>
            </c:ext>
          </c:extLst>
        </c:ser>
        <c:dLbls>
          <c:showLegendKey val="0"/>
          <c:showVal val="0"/>
          <c:showCatName val="0"/>
          <c:showSerName val="0"/>
          <c:showPercent val="0"/>
          <c:showBubbleSize val="0"/>
        </c:dLbls>
        <c:axId val="133196608"/>
        <c:axId val="133197184"/>
      </c:scatterChart>
      <c:valAx>
        <c:axId val="133196608"/>
        <c:scaling>
          <c:orientation val="minMax"/>
        </c:scaling>
        <c:delete val="1"/>
        <c:axPos val="b"/>
        <c:numFmt formatCode="0.0" sourceLinked="1"/>
        <c:majorTickMark val="out"/>
        <c:minorTickMark val="none"/>
        <c:tickLblPos val="nextTo"/>
        <c:crossAx val="133197184"/>
        <c:crosses val="autoZero"/>
        <c:crossBetween val="midCat"/>
        <c:majorUnit val="100"/>
      </c:valAx>
      <c:valAx>
        <c:axId val="133197184"/>
        <c:scaling>
          <c:orientation val="minMax"/>
        </c:scaling>
        <c:delete val="1"/>
        <c:axPos val="l"/>
        <c:numFmt formatCode="0.0" sourceLinked="1"/>
        <c:majorTickMark val="out"/>
        <c:minorTickMark val="none"/>
        <c:tickLblPos val="nextTo"/>
        <c:crossAx val="133196608"/>
        <c:crosses val="autoZero"/>
        <c:crossBetween val="midCat"/>
        <c:majorUnit val="100"/>
      </c:valAx>
      <c:spPr>
        <a:solidFill>
          <a:srgbClr val="F7F3DD"/>
        </a:solidFill>
        <a:ln w="25400">
          <a:noFill/>
        </a:ln>
      </c:spPr>
    </c:plotArea>
    <c:plotVisOnly val="1"/>
    <c:dispBlanksAs val="gap"/>
    <c:showDLblsOverMax val="0"/>
  </c:chart>
  <c:spPr>
    <a:solidFill>
      <a:srgbClr val="E5E9F0"/>
    </a:solidFill>
    <a:ln w="3175">
      <a:solidFill>
        <a:srgbClr val="002469"/>
      </a:solidFill>
      <a:prstDash val="solid"/>
    </a:ln>
  </c:spPr>
  <c:txPr>
    <a:bodyPr/>
    <a:lstStyle/>
    <a:p>
      <a:pPr>
        <a:defRPr sz="525" b="0" i="0" u="none" strike="noStrike" baseline="0">
          <a:solidFill>
            <a:srgbClr val="000000"/>
          </a:solidFill>
          <a:latin typeface="Technical"/>
          <a:ea typeface="Technical"/>
          <a:cs typeface="Technic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2007096902113343E-2"/>
          <c:y val="4.4720713900979724E-2"/>
          <c:w val="0.92065554043798414"/>
          <c:h val="0.90932118265325435"/>
        </c:manualLayout>
      </c:layout>
      <c:scatterChart>
        <c:scatterStyle val="lineMarker"/>
        <c:varyColors val="0"/>
        <c:ser>
          <c:idx val="1"/>
          <c:order val="0"/>
          <c:tx>
            <c:v>NS~EW</c:v>
          </c:tx>
          <c:spPr>
            <a:ln w="25400">
              <a:solidFill>
                <a:srgbClr val="993300"/>
              </a:solidFill>
              <a:prstDash val="solid"/>
            </a:ln>
          </c:spPr>
          <c:marker>
            <c:symbol val="none"/>
          </c:marker>
          <c:xVal>
            <c:numRef>
              <c:f>(Gra!$I$106:$M$106,Gra!$H$108:$M$108)</c:f>
              <c:numCache>
                <c:formatCode>0.0</c:formatCode>
                <c:ptCount val="11"/>
                <c:pt idx="0">
                  <c:v>0</c:v>
                </c:pt>
                <c:pt idx="1">
                  <c:v>0</c:v>
                </c:pt>
                <c:pt idx="3">
                  <c:v>0</c:v>
                </c:pt>
                <c:pt idx="4">
                  <c:v>0</c:v>
                </c:pt>
                <c:pt idx="6">
                  <c:v>0</c:v>
                </c:pt>
                <c:pt idx="7">
                  <c:v>0</c:v>
                </c:pt>
                <c:pt idx="9">
                  <c:v>0</c:v>
                </c:pt>
                <c:pt idx="10">
                  <c:v>0</c:v>
                </c:pt>
              </c:numCache>
            </c:numRef>
          </c:xVal>
          <c:yVal>
            <c:numRef>
              <c:f>(Gra!$I$107:$M$107,Gra!$H$109:$M$109)</c:f>
              <c:numCache>
                <c:formatCode>0.0</c:formatCode>
                <c:ptCount val="11"/>
                <c:pt idx="0">
                  <c:v>0</c:v>
                </c:pt>
                <c:pt idx="1">
                  <c:v>0</c:v>
                </c:pt>
                <c:pt idx="3">
                  <c:v>0</c:v>
                </c:pt>
                <c:pt idx="4">
                  <c:v>0</c:v>
                </c:pt>
                <c:pt idx="6">
                  <c:v>0</c:v>
                </c:pt>
                <c:pt idx="7">
                  <c:v>0</c:v>
                </c:pt>
                <c:pt idx="9">
                  <c:v>0</c:v>
                </c:pt>
                <c:pt idx="10">
                  <c:v>0</c:v>
                </c:pt>
              </c:numCache>
            </c:numRef>
          </c:yVal>
          <c:smooth val="0"/>
          <c:extLst>
            <c:ext xmlns:c16="http://schemas.microsoft.com/office/drawing/2014/chart" uri="{C3380CC4-5D6E-409C-BE32-E72D297353CC}">
              <c16:uniqueId val="{00000000-C9AB-4E7C-A70B-DFB987F27C2B}"/>
            </c:ext>
          </c:extLst>
        </c:ser>
        <c:ser>
          <c:idx val="3"/>
          <c:order val="1"/>
          <c:tx>
            <c:strRef>
              <c:f>Gra!$B$110</c:f>
              <c:strCache>
                <c:ptCount val="1"/>
                <c:pt idx="0">
                  <c:v>SE</c:v>
                </c:pt>
              </c:strCache>
            </c:strRef>
          </c:tx>
          <c:spPr>
            <a:ln w="25400">
              <a:solidFill>
                <a:srgbClr val="993300"/>
              </a:solidFill>
              <a:prstDash val="solid"/>
            </a:ln>
          </c:spPr>
          <c:marker>
            <c:symbol val="none"/>
          </c:marker>
          <c:xVal>
            <c:numRef>
              <c:f>Gra!$I$110:$J$110</c:f>
              <c:numCache>
                <c:formatCode>0.0</c:formatCode>
                <c:ptCount val="2"/>
                <c:pt idx="0">
                  <c:v>0</c:v>
                </c:pt>
                <c:pt idx="1">
                  <c:v>0</c:v>
                </c:pt>
              </c:numCache>
            </c:numRef>
          </c:xVal>
          <c:yVal>
            <c:numRef>
              <c:f>Gra!$I$111:$J$111</c:f>
              <c:numCache>
                <c:formatCode>0.0</c:formatCode>
                <c:ptCount val="2"/>
                <c:pt idx="0">
                  <c:v>0</c:v>
                </c:pt>
                <c:pt idx="1">
                  <c:v>0</c:v>
                </c:pt>
              </c:numCache>
            </c:numRef>
          </c:yVal>
          <c:smooth val="0"/>
          <c:extLst>
            <c:ext xmlns:c16="http://schemas.microsoft.com/office/drawing/2014/chart" uri="{C3380CC4-5D6E-409C-BE32-E72D297353CC}">
              <c16:uniqueId val="{00000001-C9AB-4E7C-A70B-DFB987F27C2B}"/>
            </c:ext>
          </c:extLst>
        </c:ser>
        <c:ser>
          <c:idx val="4"/>
          <c:order val="2"/>
          <c:tx>
            <c:strRef>
              <c:f>Gra!$B$112</c:f>
              <c:strCache>
                <c:ptCount val="1"/>
                <c:pt idx="0">
                  <c:v>ESE+SSE</c:v>
                </c:pt>
              </c:strCache>
            </c:strRef>
          </c:tx>
          <c:spPr>
            <a:ln w="25400">
              <a:solidFill>
                <a:srgbClr val="993300"/>
              </a:solidFill>
              <a:prstDash val="solid"/>
            </a:ln>
          </c:spPr>
          <c:marker>
            <c:symbol val="none"/>
          </c:marker>
          <c:xVal>
            <c:numRef>
              <c:f>Gra!$I$112:$M$112</c:f>
              <c:numCache>
                <c:formatCode>0.0</c:formatCode>
                <c:ptCount val="5"/>
                <c:pt idx="0">
                  <c:v>0</c:v>
                </c:pt>
                <c:pt idx="1">
                  <c:v>0</c:v>
                </c:pt>
                <c:pt idx="3">
                  <c:v>0</c:v>
                </c:pt>
                <c:pt idx="4">
                  <c:v>0</c:v>
                </c:pt>
              </c:numCache>
            </c:numRef>
          </c:xVal>
          <c:yVal>
            <c:numRef>
              <c:f>Gra!$I$113:$M$113</c:f>
              <c:numCache>
                <c:formatCode>0.0</c:formatCode>
                <c:ptCount val="5"/>
                <c:pt idx="0">
                  <c:v>0</c:v>
                </c:pt>
                <c:pt idx="1">
                  <c:v>0</c:v>
                </c:pt>
                <c:pt idx="3">
                  <c:v>0</c:v>
                </c:pt>
                <c:pt idx="4">
                  <c:v>0</c:v>
                </c:pt>
              </c:numCache>
            </c:numRef>
          </c:yVal>
          <c:smooth val="0"/>
          <c:extLst>
            <c:ext xmlns:c16="http://schemas.microsoft.com/office/drawing/2014/chart" uri="{C3380CC4-5D6E-409C-BE32-E72D297353CC}">
              <c16:uniqueId val="{00000002-C9AB-4E7C-A70B-DFB987F27C2B}"/>
            </c:ext>
          </c:extLst>
        </c:ser>
        <c:ser>
          <c:idx val="5"/>
          <c:order val="3"/>
          <c:tx>
            <c:v>EW~B</c:v>
          </c:tx>
          <c:spPr>
            <a:ln w="25400">
              <a:solidFill>
                <a:srgbClr val="993300"/>
              </a:solidFill>
              <a:prstDash val="solid"/>
            </a:ln>
          </c:spPr>
          <c:marker>
            <c:symbol val="none"/>
          </c:marker>
          <c:xVal>
            <c:numRef>
              <c:f>(Gra!$I$114:$N$114,Gra!$I$116:$N$116,Gra!$I$118:$M$118)</c:f>
              <c:numCache>
                <c:formatCode>0.0</c:formatCode>
                <c:ptCount val="17"/>
                <c:pt idx="0">
                  <c:v>1500</c:v>
                </c:pt>
                <c:pt idx="1">
                  <c:v>1050</c:v>
                </c:pt>
                <c:pt idx="3">
                  <c:v>1500</c:v>
                </c:pt>
                <c:pt idx="4">
                  <c:v>1050</c:v>
                </c:pt>
                <c:pt idx="6">
                  <c:v>0</c:v>
                </c:pt>
                <c:pt idx="7">
                  <c:v>0</c:v>
                </c:pt>
                <c:pt idx="9">
                  <c:v>0</c:v>
                </c:pt>
                <c:pt idx="10">
                  <c:v>0</c:v>
                </c:pt>
                <c:pt idx="12">
                  <c:v>0</c:v>
                </c:pt>
                <c:pt idx="13">
                  <c:v>0</c:v>
                </c:pt>
                <c:pt idx="15">
                  <c:v>1500</c:v>
                </c:pt>
                <c:pt idx="16">
                  <c:v>1050</c:v>
                </c:pt>
              </c:numCache>
            </c:numRef>
          </c:xVal>
          <c:yVal>
            <c:numRef>
              <c:f>(Gra!$I$115:$N$115,Gra!$I$117:$N$117,Gra!$I$119:$M$119)</c:f>
              <c:numCache>
                <c:formatCode>0.0</c:formatCode>
                <c:ptCount val="17"/>
                <c:pt idx="0">
                  <c:v>-60</c:v>
                </c:pt>
                <c:pt idx="1">
                  <c:v>-60</c:v>
                </c:pt>
                <c:pt idx="3">
                  <c:v>185</c:v>
                </c:pt>
                <c:pt idx="4">
                  <c:v>185</c:v>
                </c:pt>
                <c:pt idx="6">
                  <c:v>0</c:v>
                </c:pt>
                <c:pt idx="7">
                  <c:v>0</c:v>
                </c:pt>
                <c:pt idx="9">
                  <c:v>0</c:v>
                </c:pt>
                <c:pt idx="10">
                  <c:v>0</c:v>
                </c:pt>
                <c:pt idx="12">
                  <c:v>0</c:v>
                </c:pt>
                <c:pt idx="13">
                  <c:v>0</c:v>
                </c:pt>
                <c:pt idx="15">
                  <c:v>62</c:v>
                </c:pt>
                <c:pt idx="16">
                  <c:v>62</c:v>
                </c:pt>
              </c:numCache>
            </c:numRef>
          </c:yVal>
          <c:smooth val="0"/>
          <c:extLst>
            <c:ext xmlns:c16="http://schemas.microsoft.com/office/drawing/2014/chart" uri="{C3380CC4-5D6E-409C-BE32-E72D297353CC}">
              <c16:uniqueId val="{00000003-C9AB-4E7C-A70B-DFB987F27C2B}"/>
            </c:ext>
          </c:extLst>
        </c:ser>
        <c:ser>
          <c:idx val="9"/>
          <c:order val="4"/>
          <c:tx>
            <c:v>NS~B</c:v>
          </c:tx>
          <c:spPr>
            <a:ln w="25400">
              <a:solidFill>
                <a:srgbClr val="993300"/>
              </a:solidFill>
              <a:prstDash val="solid"/>
            </a:ln>
          </c:spPr>
          <c:marker>
            <c:symbol val="none"/>
          </c:marker>
          <c:xVal>
            <c:numRef>
              <c:f>(Gra!$I$120:$N$120,Gra!$I$122:$N$122,Gra!$I$124:$M$124)</c:f>
              <c:numCache>
                <c:formatCode>0.0</c:formatCode>
                <c:ptCount val="17"/>
                <c:pt idx="0">
                  <c:v>40</c:v>
                </c:pt>
                <c:pt idx="1">
                  <c:v>40</c:v>
                </c:pt>
                <c:pt idx="3">
                  <c:v>960</c:v>
                </c:pt>
                <c:pt idx="4">
                  <c:v>960</c:v>
                </c:pt>
                <c:pt idx="6">
                  <c:v>652</c:v>
                </c:pt>
                <c:pt idx="7">
                  <c:v>652</c:v>
                </c:pt>
                <c:pt idx="9">
                  <c:v>0</c:v>
                </c:pt>
                <c:pt idx="10">
                  <c:v>0</c:v>
                </c:pt>
                <c:pt idx="12">
                  <c:v>0</c:v>
                </c:pt>
                <c:pt idx="13">
                  <c:v>0</c:v>
                </c:pt>
                <c:pt idx="15">
                  <c:v>346</c:v>
                </c:pt>
                <c:pt idx="16">
                  <c:v>346</c:v>
                </c:pt>
              </c:numCache>
            </c:numRef>
          </c:xVal>
          <c:yVal>
            <c:numRef>
              <c:f>(Gra!$I$121:$N$121,Gra!$I$123:$N$123,Gra!$I$125:$M$125)</c:f>
              <c:numCache>
                <c:formatCode>0.0</c:formatCode>
                <c:ptCount val="17"/>
                <c:pt idx="0">
                  <c:v>-150</c:v>
                </c:pt>
                <c:pt idx="1">
                  <c:v>-600</c:v>
                </c:pt>
                <c:pt idx="3">
                  <c:v>-150</c:v>
                </c:pt>
                <c:pt idx="4">
                  <c:v>-600</c:v>
                </c:pt>
                <c:pt idx="6">
                  <c:v>-150</c:v>
                </c:pt>
                <c:pt idx="7">
                  <c:v>-600</c:v>
                </c:pt>
                <c:pt idx="9">
                  <c:v>0</c:v>
                </c:pt>
                <c:pt idx="10">
                  <c:v>0</c:v>
                </c:pt>
                <c:pt idx="12">
                  <c:v>0</c:v>
                </c:pt>
                <c:pt idx="13">
                  <c:v>0</c:v>
                </c:pt>
                <c:pt idx="15">
                  <c:v>-150</c:v>
                </c:pt>
                <c:pt idx="16">
                  <c:v>-600</c:v>
                </c:pt>
              </c:numCache>
            </c:numRef>
          </c:yVal>
          <c:smooth val="0"/>
          <c:extLst>
            <c:ext xmlns:c16="http://schemas.microsoft.com/office/drawing/2014/chart" uri="{C3380CC4-5D6E-409C-BE32-E72D297353CC}">
              <c16:uniqueId val="{00000004-C9AB-4E7C-A70B-DFB987F27C2B}"/>
            </c:ext>
          </c:extLst>
        </c:ser>
        <c:ser>
          <c:idx val="10"/>
          <c:order val="5"/>
          <c:tx>
            <c:strRef>
              <c:f>Gra!$B$126</c:f>
              <c:strCache>
                <c:ptCount val="1"/>
                <c:pt idx="0">
                  <c:v>Edge</c:v>
                </c:pt>
              </c:strCache>
            </c:strRef>
          </c:tx>
          <c:spPr>
            <a:ln w="12700">
              <a:solidFill>
                <a:srgbClr val="002469"/>
              </a:solidFill>
              <a:prstDash val="solid"/>
            </a:ln>
          </c:spPr>
          <c:marker>
            <c:symbol val="none"/>
          </c:marker>
          <c:xVal>
            <c:numRef>
              <c:f>Gra!$C$126:$G$126</c:f>
              <c:numCache>
                <c:formatCode>General</c:formatCode>
                <c:ptCount val="5"/>
                <c:pt idx="0">
                  <c:v>0</c:v>
                </c:pt>
                <c:pt idx="1">
                  <c:v>0</c:v>
                </c:pt>
                <c:pt idx="3">
                  <c:v>0</c:v>
                </c:pt>
                <c:pt idx="4">
                  <c:v>1652.5</c:v>
                </c:pt>
              </c:numCache>
            </c:numRef>
          </c:xVal>
          <c:yVal>
            <c:numRef>
              <c:f>Gra!$C$127:$G$127</c:f>
              <c:numCache>
                <c:formatCode>General</c:formatCode>
                <c:ptCount val="5"/>
                <c:pt idx="0">
                  <c:v>-752.5</c:v>
                </c:pt>
                <c:pt idx="1">
                  <c:v>225</c:v>
                </c:pt>
                <c:pt idx="3">
                  <c:v>225</c:v>
                </c:pt>
                <c:pt idx="4">
                  <c:v>225</c:v>
                </c:pt>
              </c:numCache>
            </c:numRef>
          </c:yVal>
          <c:smooth val="0"/>
          <c:extLst>
            <c:ext xmlns:c16="http://schemas.microsoft.com/office/drawing/2014/chart" uri="{C3380CC4-5D6E-409C-BE32-E72D297353CC}">
              <c16:uniqueId val="{00000005-C9AB-4E7C-A70B-DFB987F27C2B}"/>
            </c:ext>
          </c:extLst>
        </c:ser>
        <c:ser>
          <c:idx val="12"/>
          <c:order val="6"/>
          <c:tx>
            <c:v>sqareit</c:v>
          </c:tx>
          <c:spPr>
            <a:ln w="12700">
              <a:solidFill>
                <a:srgbClr val="BAC0D9"/>
              </a:solidFill>
              <a:prstDash val="solid"/>
            </a:ln>
          </c:spPr>
          <c:marker>
            <c:symbol val="none"/>
          </c:marker>
          <c:xVal>
            <c:numRef>
              <c:f>Gra!$O$111</c:f>
              <c:numCache>
                <c:formatCode>General</c:formatCode>
                <c:ptCount val="1"/>
                <c:pt idx="0">
                  <c:v>1652.5</c:v>
                </c:pt>
              </c:numCache>
            </c:numRef>
          </c:xVal>
          <c:yVal>
            <c:numRef>
              <c:f>Gra!$O$112</c:f>
              <c:numCache>
                <c:formatCode>General</c:formatCode>
                <c:ptCount val="1"/>
                <c:pt idx="0">
                  <c:v>900</c:v>
                </c:pt>
              </c:numCache>
            </c:numRef>
          </c:yVal>
          <c:smooth val="0"/>
          <c:extLst>
            <c:ext xmlns:c16="http://schemas.microsoft.com/office/drawing/2014/chart" uri="{C3380CC4-5D6E-409C-BE32-E72D297353CC}">
              <c16:uniqueId val="{00000006-C9AB-4E7C-A70B-DFB987F27C2B}"/>
            </c:ext>
          </c:extLst>
        </c:ser>
        <c:ser>
          <c:idx val="13"/>
          <c:order val="7"/>
          <c:tx>
            <c:v>hole</c:v>
          </c:tx>
          <c:spPr>
            <a:ln w="25400">
              <a:solidFill>
                <a:srgbClr val="0000FF"/>
              </a:solidFill>
              <a:prstDash val="solid"/>
            </a:ln>
          </c:spPr>
          <c:marker>
            <c:symbol val="none"/>
          </c:marker>
          <c:xVal>
            <c:numRef>
              <c:f>Gra!$C$128:$G$128</c:f>
              <c:numCache>
                <c:formatCode>General</c:formatCode>
                <c:ptCount val="5"/>
                <c:pt idx="0">
                  <c:v>450</c:v>
                </c:pt>
                <c:pt idx="1">
                  <c:v>450</c:v>
                </c:pt>
                <c:pt idx="2">
                  <c:v>450</c:v>
                </c:pt>
                <c:pt idx="3">
                  <c:v>450</c:v>
                </c:pt>
                <c:pt idx="4">
                  <c:v>450</c:v>
                </c:pt>
              </c:numCache>
            </c:numRef>
          </c:xVal>
          <c:yVal>
            <c:numRef>
              <c:f>Gra!$C$129:$G$129</c:f>
              <c:numCache>
                <c:formatCode>General</c:formatCode>
                <c:ptCount val="5"/>
                <c:pt idx="0">
                  <c:v>112.5</c:v>
                </c:pt>
                <c:pt idx="1">
                  <c:v>112.5</c:v>
                </c:pt>
                <c:pt idx="2">
                  <c:v>112.5</c:v>
                </c:pt>
                <c:pt idx="3">
                  <c:v>112.5</c:v>
                </c:pt>
                <c:pt idx="4">
                  <c:v>112.5</c:v>
                </c:pt>
              </c:numCache>
            </c:numRef>
          </c:yVal>
          <c:smooth val="0"/>
          <c:extLst>
            <c:ext xmlns:c16="http://schemas.microsoft.com/office/drawing/2014/chart" uri="{C3380CC4-5D6E-409C-BE32-E72D297353CC}">
              <c16:uniqueId val="{00000007-C9AB-4E7C-A70B-DFB987F27C2B}"/>
            </c:ext>
          </c:extLst>
        </c:ser>
        <c:ser>
          <c:idx val="14"/>
          <c:order val="8"/>
          <c:tx>
            <c:v>cross</c:v>
          </c:tx>
          <c:spPr>
            <a:ln w="12700">
              <a:solidFill>
                <a:srgbClr val="0000FF"/>
              </a:solidFill>
              <a:prstDash val="solid"/>
            </a:ln>
          </c:spPr>
          <c:marker>
            <c:symbol val="none"/>
          </c:marker>
          <c:xVal>
            <c:numRef>
              <c:f>Gra!$I$128:$M$128</c:f>
              <c:numCache>
                <c:formatCode>General</c:formatCode>
                <c:ptCount val="5"/>
                <c:pt idx="0">
                  <c:v>450</c:v>
                </c:pt>
                <c:pt idx="1">
                  <c:v>450</c:v>
                </c:pt>
                <c:pt idx="3">
                  <c:v>450</c:v>
                </c:pt>
                <c:pt idx="4">
                  <c:v>450</c:v>
                </c:pt>
              </c:numCache>
            </c:numRef>
          </c:xVal>
          <c:yVal>
            <c:numRef>
              <c:f>Gra!$I$129:$M$129</c:f>
              <c:numCache>
                <c:formatCode>General</c:formatCode>
                <c:ptCount val="5"/>
                <c:pt idx="0">
                  <c:v>112.5</c:v>
                </c:pt>
                <c:pt idx="1">
                  <c:v>112.5</c:v>
                </c:pt>
                <c:pt idx="3">
                  <c:v>112.5</c:v>
                </c:pt>
                <c:pt idx="4">
                  <c:v>112.5</c:v>
                </c:pt>
              </c:numCache>
            </c:numRef>
          </c:yVal>
          <c:smooth val="0"/>
          <c:extLst>
            <c:ext xmlns:c16="http://schemas.microsoft.com/office/drawing/2014/chart" uri="{C3380CC4-5D6E-409C-BE32-E72D297353CC}">
              <c16:uniqueId val="{00000008-C9AB-4E7C-A70B-DFB987F27C2B}"/>
            </c:ext>
          </c:extLst>
        </c:ser>
        <c:ser>
          <c:idx val="2"/>
          <c:order val="9"/>
          <c:tx>
            <c:v>Extra</c:v>
          </c:tx>
          <c:spPr>
            <a:ln w="25400">
              <a:solidFill>
                <a:srgbClr val="339966"/>
              </a:solidFill>
              <a:prstDash val="solid"/>
            </a:ln>
          </c:spPr>
          <c:marker>
            <c:symbol val="none"/>
          </c:marker>
          <c:xVal>
            <c:numRef>
              <c:f>Gra!$C$132:$J$132</c:f>
              <c:numCache>
                <c:formatCode>0.0</c:formatCode>
                <c:ptCount val="8"/>
                <c:pt idx="0">
                  <c:v>0</c:v>
                </c:pt>
                <c:pt idx="1">
                  <c:v>0</c:v>
                </c:pt>
                <c:pt idx="3">
                  <c:v>0</c:v>
                </c:pt>
                <c:pt idx="4">
                  <c:v>0</c:v>
                </c:pt>
                <c:pt idx="6">
                  <c:v>0</c:v>
                </c:pt>
                <c:pt idx="7">
                  <c:v>0</c:v>
                </c:pt>
              </c:numCache>
            </c:numRef>
          </c:xVal>
          <c:yVal>
            <c:numRef>
              <c:f>Gra!$C$133:$J$133</c:f>
              <c:numCache>
                <c:formatCode>0.0</c:formatCode>
                <c:ptCount val="8"/>
                <c:pt idx="0">
                  <c:v>0</c:v>
                </c:pt>
                <c:pt idx="1">
                  <c:v>0</c:v>
                </c:pt>
                <c:pt idx="3">
                  <c:v>0</c:v>
                </c:pt>
                <c:pt idx="4">
                  <c:v>0</c:v>
                </c:pt>
                <c:pt idx="6">
                  <c:v>0</c:v>
                </c:pt>
                <c:pt idx="7">
                  <c:v>0</c:v>
                </c:pt>
              </c:numCache>
            </c:numRef>
          </c:yVal>
          <c:smooth val="0"/>
          <c:extLst>
            <c:ext xmlns:c16="http://schemas.microsoft.com/office/drawing/2014/chart" uri="{C3380CC4-5D6E-409C-BE32-E72D297353CC}">
              <c16:uniqueId val="{00000009-C9AB-4E7C-A70B-DFB987F27C2B}"/>
            </c:ext>
          </c:extLst>
        </c:ser>
        <c:ser>
          <c:idx val="0"/>
          <c:order val="10"/>
          <c:tx>
            <c:v>column</c:v>
          </c:tx>
          <c:spPr>
            <a:ln w="38100">
              <a:solidFill>
                <a:srgbClr val="000000"/>
              </a:solidFill>
              <a:prstDash val="solid"/>
            </a:ln>
          </c:spPr>
          <c:marker>
            <c:symbol val="none"/>
          </c:marker>
          <c:xVal>
            <c:numRef>
              <c:f>Gra!$C$104:$G$104</c:f>
              <c:numCache>
                <c:formatCode>General</c:formatCode>
                <c:ptCount val="5"/>
                <c:pt idx="0">
                  <c:v>0</c:v>
                </c:pt>
                <c:pt idx="1">
                  <c:v>0</c:v>
                </c:pt>
                <c:pt idx="2">
                  <c:v>900</c:v>
                </c:pt>
                <c:pt idx="3">
                  <c:v>900</c:v>
                </c:pt>
                <c:pt idx="4">
                  <c:v>0</c:v>
                </c:pt>
              </c:numCache>
            </c:numRef>
          </c:xVal>
          <c:yVal>
            <c:numRef>
              <c:f>Gra!$C$105:$G$105</c:f>
              <c:numCache>
                <c:formatCode>General</c:formatCode>
                <c:ptCount val="5"/>
                <c:pt idx="0">
                  <c:v>0</c:v>
                </c:pt>
                <c:pt idx="1">
                  <c:v>225</c:v>
                </c:pt>
                <c:pt idx="2">
                  <c:v>225</c:v>
                </c:pt>
                <c:pt idx="3">
                  <c:v>0</c:v>
                </c:pt>
                <c:pt idx="4">
                  <c:v>0</c:v>
                </c:pt>
              </c:numCache>
            </c:numRef>
          </c:yVal>
          <c:smooth val="0"/>
          <c:extLst>
            <c:ext xmlns:c16="http://schemas.microsoft.com/office/drawing/2014/chart" uri="{C3380CC4-5D6E-409C-BE32-E72D297353CC}">
              <c16:uniqueId val="{0000000A-C9AB-4E7C-A70B-DFB987F27C2B}"/>
            </c:ext>
          </c:extLst>
        </c:ser>
        <c:ser>
          <c:idx val="6"/>
          <c:order val="11"/>
          <c:tx>
            <c:strRef>
              <c:f>CORNER!$O$43</c:f>
              <c:strCache>
                <c:ptCount val="1"/>
                <c:pt idx="0">
                  <c:v>Blockout</c:v>
                </c:pt>
              </c:strCache>
            </c:strRef>
          </c:tx>
          <c:spPr>
            <a:ln w="19050">
              <a:solidFill>
                <a:schemeClr val="bg1">
                  <a:lumMod val="50000"/>
                </a:schemeClr>
              </a:solidFill>
              <a:prstDash val="sysDash"/>
            </a:ln>
          </c:spPr>
          <c:marker>
            <c:symbol val="none"/>
          </c:marker>
          <c:xVal>
            <c:numRef>
              <c:f>CORNER!$O$47:$Q$47</c:f>
              <c:numCache>
                <c:formatCode>General</c:formatCode>
                <c:ptCount val="3"/>
                <c:pt idx="0">
                  <c:v>450</c:v>
                </c:pt>
                <c:pt idx="1">
                  <c:v>450</c:v>
                </c:pt>
                <c:pt idx="2">
                  <c:v>450</c:v>
                </c:pt>
              </c:numCache>
            </c:numRef>
          </c:xVal>
          <c:yVal>
            <c:numRef>
              <c:f>CORNER!$O$48:$Q$48</c:f>
              <c:numCache>
                <c:formatCode>General</c:formatCode>
                <c:ptCount val="3"/>
                <c:pt idx="0">
                  <c:v>112.5</c:v>
                </c:pt>
                <c:pt idx="1">
                  <c:v>112.5</c:v>
                </c:pt>
                <c:pt idx="2">
                  <c:v>112.5</c:v>
                </c:pt>
              </c:numCache>
            </c:numRef>
          </c:yVal>
          <c:smooth val="0"/>
          <c:extLst>
            <c:ext xmlns:c16="http://schemas.microsoft.com/office/drawing/2014/chart" uri="{C3380CC4-5D6E-409C-BE32-E72D297353CC}">
              <c16:uniqueId val="{0000000B-C9AB-4E7C-A70B-DFB987F27C2B}"/>
            </c:ext>
          </c:extLst>
        </c:ser>
        <c:dLbls>
          <c:showLegendKey val="0"/>
          <c:showVal val="0"/>
          <c:showCatName val="0"/>
          <c:showSerName val="0"/>
          <c:showPercent val="0"/>
          <c:showBubbleSize val="0"/>
        </c:dLbls>
        <c:axId val="198330048"/>
        <c:axId val="198330624"/>
      </c:scatterChart>
      <c:valAx>
        <c:axId val="198330048"/>
        <c:scaling>
          <c:orientation val="minMax"/>
        </c:scaling>
        <c:delete val="1"/>
        <c:axPos val="b"/>
        <c:numFmt formatCode="0.0" sourceLinked="1"/>
        <c:majorTickMark val="out"/>
        <c:minorTickMark val="none"/>
        <c:tickLblPos val="nextTo"/>
        <c:crossAx val="198330624"/>
        <c:crosses val="autoZero"/>
        <c:crossBetween val="midCat"/>
        <c:majorUnit val="100"/>
      </c:valAx>
      <c:valAx>
        <c:axId val="198330624"/>
        <c:scaling>
          <c:orientation val="minMax"/>
        </c:scaling>
        <c:delete val="1"/>
        <c:axPos val="l"/>
        <c:numFmt formatCode="0.0" sourceLinked="1"/>
        <c:majorTickMark val="out"/>
        <c:minorTickMark val="none"/>
        <c:tickLblPos val="nextTo"/>
        <c:crossAx val="198330048"/>
        <c:crosses val="autoZero"/>
        <c:crossBetween val="midCat"/>
        <c:majorUnit val="100"/>
      </c:valAx>
      <c:spPr>
        <a:solidFill>
          <a:srgbClr val="F7F3DD"/>
        </a:solidFill>
        <a:ln w="25400">
          <a:noFill/>
        </a:ln>
      </c:spPr>
    </c:plotArea>
    <c:plotVisOnly val="1"/>
    <c:dispBlanksAs val="gap"/>
    <c:showDLblsOverMax val="0"/>
  </c:chart>
  <c:spPr>
    <a:solidFill>
      <a:srgbClr val="E5E9F0"/>
    </a:solidFill>
    <a:ln w="3175">
      <a:solidFill>
        <a:srgbClr val="002469"/>
      </a:solidFill>
      <a:prstDash val="solid"/>
    </a:ln>
  </c:spPr>
  <c:txPr>
    <a:bodyPr/>
    <a:lstStyle/>
    <a:p>
      <a:pPr>
        <a:defRPr sz="525" b="0" i="0" u="none" strike="noStrike" baseline="0">
          <a:solidFill>
            <a:srgbClr val="000000"/>
          </a:solidFill>
          <a:latin typeface="Technical"/>
          <a:ea typeface="Technical"/>
          <a:cs typeface="Technic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7667844522968199E-2"/>
          <c:y val="2.3275092589463389E-2"/>
          <c:w val="0.97161958697781914"/>
          <c:h val="0.96174360422005178"/>
        </c:manualLayout>
      </c:layout>
      <c:scatterChart>
        <c:scatterStyle val="lineMarker"/>
        <c:varyColors val="0"/>
        <c:ser>
          <c:idx val="13"/>
          <c:order val="0"/>
          <c:tx>
            <c:v>hole</c:v>
          </c:tx>
          <c:spPr>
            <a:ln w="25400">
              <a:solidFill>
                <a:srgbClr val="0000FF"/>
              </a:solidFill>
              <a:prstDash val="solid"/>
            </a:ln>
          </c:spPr>
          <c:marker>
            <c:symbol val="none"/>
          </c:marker>
          <c:xVal>
            <c:numRef>
              <c:f>Gra!$C$177:$G$177</c:f>
              <c:numCache>
                <c:formatCode>General</c:formatCode>
                <c:ptCount val="5"/>
                <c:pt idx="0">
                  <c:v>350</c:v>
                </c:pt>
                <c:pt idx="1">
                  <c:v>350</c:v>
                </c:pt>
                <c:pt idx="2">
                  <c:v>350</c:v>
                </c:pt>
                <c:pt idx="3">
                  <c:v>350</c:v>
                </c:pt>
                <c:pt idx="4">
                  <c:v>350</c:v>
                </c:pt>
              </c:numCache>
            </c:numRef>
          </c:xVal>
          <c:yVal>
            <c:numRef>
              <c:f>Gra!$C$178:$G$178</c:f>
              <c:numCache>
                <c:formatCode>General</c:formatCode>
                <c:ptCount val="5"/>
                <c:pt idx="0">
                  <c:v>112.5</c:v>
                </c:pt>
                <c:pt idx="1">
                  <c:v>112.5</c:v>
                </c:pt>
                <c:pt idx="2">
                  <c:v>112.5</c:v>
                </c:pt>
                <c:pt idx="3">
                  <c:v>112.5</c:v>
                </c:pt>
                <c:pt idx="4">
                  <c:v>112.5</c:v>
                </c:pt>
              </c:numCache>
            </c:numRef>
          </c:yVal>
          <c:smooth val="0"/>
          <c:extLst>
            <c:ext xmlns:c16="http://schemas.microsoft.com/office/drawing/2014/chart" uri="{C3380CC4-5D6E-409C-BE32-E72D297353CC}">
              <c16:uniqueId val="{00000000-B718-4D9D-9BB8-D2A08DAB6D67}"/>
            </c:ext>
          </c:extLst>
        </c:ser>
        <c:ser>
          <c:idx val="1"/>
          <c:order val="1"/>
          <c:tx>
            <c:v>EW &amp; NS</c:v>
          </c:tx>
          <c:spPr>
            <a:ln w="25400">
              <a:solidFill>
                <a:srgbClr val="993300"/>
              </a:solidFill>
              <a:prstDash val="solid"/>
            </a:ln>
          </c:spPr>
          <c:marker>
            <c:symbol val="none"/>
          </c:marker>
          <c:xVal>
            <c:numRef>
              <c:f>(Gra!$I$139:$M$139,Gra!$H$141:$M$141,Gra!$H$143:$M$143)</c:f>
              <c:numCache>
                <c:formatCode>0.0</c:formatCode>
                <c:ptCount val="17"/>
                <c:pt idx="0">
                  <c:v>0</c:v>
                </c:pt>
                <c:pt idx="1">
                  <c:v>0</c:v>
                </c:pt>
                <c:pt idx="3">
                  <c:v>0</c:v>
                </c:pt>
                <c:pt idx="4">
                  <c:v>0</c:v>
                </c:pt>
                <c:pt idx="6">
                  <c:v>0</c:v>
                </c:pt>
                <c:pt idx="7">
                  <c:v>0</c:v>
                </c:pt>
                <c:pt idx="9">
                  <c:v>0</c:v>
                </c:pt>
                <c:pt idx="10">
                  <c:v>0</c:v>
                </c:pt>
                <c:pt idx="12">
                  <c:v>0</c:v>
                </c:pt>
                <c:pt idx="13">
                  <c:v>0</c:v>
                </c:pt>
                <c:pt idx="15">
                  <c:v>0</c:v>
                </c:pt>
                <c:pt idx="16">
                  <c:v>0</c:v>
                </c:pt>
              </c:numCache>
            </c:numRef>
          </c:xVal>
          <c:yVal>
            <c:numRef>
              <c:f>(Gra!$I$140:$M$140,Gra!$H$142:$M$142,Gra!$H$144:$M$144)</c:f>
              <c:numCache>
                <c:formatCode>0.0</c:formatCode>
                <c:ptCount val="17"/>
                <c:pt idx="0">
                  <c:v>0</c:v>
                </c:pt>
                <c:pt idx="1">
                  <c:v>0</c:v>
                </c:pt>
                <c:pt idx="3">
                  <c:v>0</c:v>
                </c:pt>
                <c:pt idx="4">
                  <c:v>0</c:v>
                </c:pt>
                <c:pt idx="6">
                  <c:v>0</c:v>
                </c:pt>
                <c:pt idx="7">
                  <c:v>0</c:v>
                </c:pt>
                <c:pt idx="9">
                  <c:v>0</c:v>
                </c:pt>
                <c:pt idx="10">
                  <c:v>0</c:v>
                </c:pt>
                <c:pt idx="12">
                  <c:v>0</c:v>
                </c:pt>
                <c:pt idx="13">
                  <c:v>0</c:v>
                </c:pt>
                <c:pt idx="15">
                  <c:v>0</c:v>
                </c:pt>
                <c:pt idx="16">
                  <c:v>0</c:v>
                </c:pt>
              </c:numCache>
            </c:numRef>
          </c:yVal>
          <c:smooth val="0"/>
          <c:extLst>
            <c:ext xmlns:c16="http://schemas.microsoft.com/office/drawing/2014/chart" uri="{C3380CC4-5D6E-409C-BE32-E72D297353CC}">
              <c16:uniqueId val="{00000001-B718-4D9D-9BB8-D2A08DAB6D67}"/>
            </c:ext>
          </c:extLst>
        </c:ser>
        <c:ser>
          <c:idx val="3"/>
          <c:order val="2"/>
          <c:tx>
            <c:v>45  Deg</c:v>
          </c:tx>
          <c:spPr>
            <a:ln w="25400">
              <a:solidFill>
                <a:srgbClr val="993300"/>
              </a:solidFill>
              <a:prstDash val="solid"/>
            </a:ln>
          </c:spPr>
          <c:marker>
            <c:symbol val="none"/>
          </c:marker>
          <c:xVal>
            <c:numRef>
              <c:f>(Gra!$I$145:$M$145,Gra!$H$147:$M$147)</c:f>
              <c:numCache>
                <c:formatCode>0.0</c:formatCode>
                <c:ptCount val="11"/>
                <c:pt idx="0">
                  <c:v>0</c:v>
                </c:pt>
                <c:pt idx="1">
                  <c:v>0</c:v>
                </c:pt>
                <c:pt idx="3">
                  <c:v>0</c:v>
                </c:pt>
                <c:pt idx="4">
                  <c:v>0</c:v>
                </c:pt>
                <c:pt idx="6">
                  <c:v>0</c:v>
                </c:pt>
                <c:pt idx="7">
                  <c:v>0</c:v>
                </c:pt>
                <c:pt idx="9">
                  <c:v>0</c:v>
                </c:pt>
                <c:pt idx="10">
                  <c:v>0</c:v>
                </c:pt>
              </c:numCache>
            </c:numRef>
          </c:xVal>
          <c:yVal>
            <c:numRef>
              <c:f>(Gra!$I$146:$M$146,Gra!$H$148:$M$148)</c:f>
              <c:numCache>
                <c:formatCode>0.0</c:formatCode>
                <c:ptCount val="11"/>
                <c:pt idx="0">
                  <c:v>0</c:v>
                </c:pt>
                <c:pt idx="1">
                  <c:v>0</c:v>
                </c:pt>
                <c:pt idx="3">
                  <c:v>0</c:v>
                </c:pt>
                <c:pt idx="4">
                  <c:v>0</c:v>
                </c:pt>
                <c:pt idx="6">
                  <c:v>0</c:v>
                </c:pt>
                <c:pt idx="7">
                  <c:v>0</c:v>
                </c:pt>
                <c:pt idx="9">
                  <c:v>0</c:v>
                </c:pt>
                <c:pt idx="10">
                  <c:v>0</c:v>
                </c:pt>
              </c:numCache>
            </c:numRef>
          </c:yVal>
          <c:smooth val="0"/>
          <c:extLst>
            <c:ext xmlns:c16="http://schemas.microsoft.com/office/drawing/2014/chart" uri="{C3380CC4-5D6E-409C-BE32-E72D297353CC}">
              <c16:uniqueId val="{00000002-B718-4D9D-9BB8-D2A08DAB6D67}"/>
            </c:ext>
          </c:extLst>
        </c:ser>
        <c:ser>
          <c:idx val="5"/>
          <c:order val="3"/>
          <c:tx>
            <c:v>30 Deg</c:v>
          </c:tx>
          <c:spPr>
            <a:ln w="25400">
              <a:solidFill>
                <a:srgbClr val="993300"/>
              </a:solidFill>
              <a:prstDash val="solid"/>
            </a:ln>
          </c:spPr>
          <c:marker>
            <c:symbol val="none"/>
          </c:marker>
          <c:xVal>
            <c:numRef>
              <c:f>(Gra!$I$149:$M$149,Gra!$H$151:$M$151,Gra!$H$153:$M$153)</c:f>
              <c:numCache>
                <c:formatCode>0.0</c:formatCode>
                <c:ptCount val="17"/>
                <c:pt idx="0">
                  <c:v>0</c:v>
                </c:pt>
                <c:pt idx="1">
                  <c:v>0</c:v>
                </c:pt>
                <c:pt idx="3">
                  <c:v>0</c:v>
                </c:pt>
                <c:pt idx="4">
                  <c:v>0</c:v>
                </c:pt>
                <c:pt idx="6">
                  <c:v>0</c:v>
                </c:pt>
                <c:pt idx="7">
                  <c:v>0</c:v>
                </c:pt>
                <c:pt idx="9">
                  <c:v>0</c:v>
                </c:pt>
                <c:pt idx="10">
                  <c:v>0</c:v>
                </c:pt>
                <c:pt idx="12">
                  <c:v>0</c:v>
                </c:pt>
                <c:pt idx="13">
                  <c:v>0</c:v>
                </c:pt>
                <c:pt idx="15">
                  <c:v>0</c:v>
                </c:pt>
                <c:pt idx="16">
                  <c:v>0</c:v>
                </c:pt>
              </c:numCache>
            </c:numRef>
          </c:xVal>
          <c:yVal>
            <c:numRef>
              <c:f>(Gra!$I$150:$M$150,Gra!$H$152:$M$152,Gra!$H$154:$M$154)</c:f>
              <c:numCache>
                <c:formatCode>0.0</c:formatCode>
                <c:ptCount val="17"/>
                <c:pt idx="0">
                  <c:v>0</c:v>
                </c:pt>
                <c:pt idx="1">
                  <c:v>0</c:v>
                </c:pt>
                <c:pt idx="3">
                  <c:v>0</c:v>
                </c:pt>
                <c:pt idx="4">
                  <c:v>0</c:v>
                </c:pt>
                <c:pt idx="6">
                  <c:v>0</c:v>
                </c:pt>
                <c:pt idx="7">
                  <c:v>0</c:v>
                </c:pt>
                <c:pt idx="9">
                  <c:v>0</c:v>
                </c:pt>
                <c:pt idx="10">
                  <c:v>0</c:v>
                </c:pt>
                <c:pt idx="12">
                  <c:v>0</c:v>
                </c:pt>
                <c:pt idx="13">
                  <c:v>0</c:v>
                </c:pt>
                <c:pt idx="15">
                  <c:v>0</c:v>
                </c:pt>
                <c:pt idx="16">
                  <c:v>0</c:v>
                </c:pt>
              </c:numCache>
            </c:numRef>
          </c:yVal>
          <c:smooth val="0"/>
          <c:extLst>
            <c:ext xmlns:c16="http://schemas.microsoft.com/office/drawing/2014/chart" uri="{C3380CC4-5D6E-409C-BE32-E72D297353CC}">
              <c16:uniqueId val="{00000003-B718-4D9D-9BB8-D2A08DAB6D67}"/>
            </c:ext>
          </c:extLst>
        </c:ser>
        <c:ser>
          <c:idx val="8"/>
          <c:order val="4"/>
          <c:tx>
            <c:v>EW~B</c:v>
          </c:tx>
          <c:spPr>
            <a:ln w="25400">
              <a:solidFill>
                <a:srgbClr val="993300"/>
              </a:solidFill>
              <a:prstDash val="solid"/>
            </a:ln>
          </c:spPr>
          <c:marker>
            <c:symbol val="none"/>
          </c:marker>
          <c:xVal>
            <c:numRef>
              <c:f>(Gra!$I$155:$M$155,Gra!$H$155:$M$155,Gra!$H$155:$M$155,Gra!$H$159:$M$159,Gra!$H$161:$M$161,Gra!$H$163:$M$163)</c:f>
              <c:numCache>
                <c:formatCode>0.0</c:formatCode>
                <c:ptCount val="35"/>
                <c:pt idx="0">
                  <c:v>1060</c:v>
                </c:pt>
                <c:pt idx="1">
                  <c:v>790</c:v>
                </c:pt>
                <c:pt idx="3">
                  <c:v>-360</c:v>
                </c:pt>
                <c:pt idx="4">
                  <c:v>-90</c:v>
                </c:pt>
                <c:pt idx="6">
                  <c:v>1060</c:v>
                </c:pt>
                <c:pt idx="7">
                  <c:v>790</c:v>
                </c:pt>
                <c:pt idx="9">
                  <c:v>-360</c:v>
                </c:pt>
                <c:pt idx="10">
                  <c:v>-90</c:v>
                </c:pt>
                <c:pt idx="12">
                  <c:v>1060</c:v>
                </c:pt>
                <c:pt idx="13">
                  <c:v>790</c:v>
                </c:pt>
                <c:pt idx="15">
                  <c:v>-360</c:v>
                </c:pt>
                <c:pt idx="16">
                  <c:v>-90</c:v>
                </c:pt>
                <c:pt idx="18">
                  <c:v>0</c:v>
                </c:pt>
                <c:pt idx="19">
                  <c:v>0</c:v>
                </c:pt>
                <c:pt idx="21">
                  <c:v>0</c:v>
                </c:pt>
                <c:pt idx="22">
                  <c:v>0</c:v>
                </c:pt>
                <c:pt idx="24">
                  <c:v>0</c:v>
                </c:pt>
                <c:pt idx="25">
                  <c:v>0</c:v>
                </c:pt>
                <c:pt idx="27">
                  <c:v>0</c:v>
                </c:pt>
                <c:pt idx="28">
                  <c:v>0</c:v>
                </c:pt>
                <c:pt idx="30">
                  <c:v>0</c:v>
                </c:pt>
                <c:pt idx="31">
                  <c:v>0</c:v>
                </c:pt>
                <c:pt idx="33">
                  <c:v>0</c:v>
                </c:pt>
                <c:pt idx="34">
                  <c:v>0</c:v>
                </c:pt>
              </c:numCache>
            </c:numRef>
          </c:xVal>
          <c:yVal>
            <c:numRef>
              <c:f>(Gra!$I$156:$M$156,Gra!$H$157:$M$157,Gra!$H$158:$M$158,Gra!$H$160:$M$160,Gra!$H$162:$M$162,Gra!$H$164:$M$164)</c:f>
              <c:numCache>
                <c:formatCode>0.0</c:formatCode>
                <c:ptCount val="35"/>
                <c:pt idx="0">
                  <c:v>-35</c:v>
                </c:pt>
                <c:pt idx="1">
                  <c:v>-35</c:v>
                </c:pt>
                <c:pt idx="3">
                  <c:v>-35</c:v>
                </c:pt>
                <c:pt idx="4">
                  <c:v>-35</c:v>
                </c:pt>
                <c:pt idx="6">
                  <c:v>260</c:v>
                </c:pt>
                <c:pt idx="7">
                  <c:v>260</c:v>
                </c:pt>
                <c:pt idx="9">
                  <c:v>185</c:v>
                </c:pt>
                <c:pt idx="10">
                  <c:v>185</c:v>
                </c:pt>
                <c:pt idx="12">
                  <c:v>112</c:v>
                </c:pt>
                <c:pt idx="13">
                  <c:v>112</c:v>
                </c:pt>
                <c:pt idx="15">
                  <c:v>75</c:v>
                </c:pt>
                <c:pt idx="16">
                  <c:v>75</c:v>
                </c:pt>
                <c:pt idx="18">
                  <c:v>0</c:v>
                </c:pt>
                <c:pt idx="19">
                  <c:v>0</c:v>
                </c:pt>
                <c:pt idx="21">
                  <c:v>0</c:v>
                </c:pt>
                <c:pt idx="22">
                  <c:v>0</c:v>
                </c:pt>
                <c:pt idx="24">
                  <c:v>0</c:v>
                </c:pt>
                <c:pt idx="25">
                  <c:v>0</c:v>
                </c:pt>
                <c:pt idx="27">
                  <c:v>0</c:v>
                </c:pt>
                <c:pt idx="28">
                  <c:v>0</c:v>
                </c:pt>
                <c:pt idx="30">
                  <c:v>0</c:v>
                </c:pt>
                <c:pt idx="31">
                  <c:v>0</c:v>
                </c:pt>
                <c:pt idx="33">
                  <c:v>0</c:v>
                </c:pt>
                <c:pt idx="34">
                  <c:v>0</c:v>
                </c:pt>
              </c:numCache>
            </c:numRef>
          </c:yVal>
          <c:smooth val="0"/>
          <c:extLst>
            <c:ext xmlns:c16="http://schemas.microsoft.com/office/drawing/2014/chart" uri="{C3380CC4-5D6E-409C-BE32-E72D297353CC}">
              <c16:uniqueId val="{00000004-B718-4D9D-9BB8-D2A08DAB6D67}"/>
            </c:ext>
          </c:extLst>
        </c:ser>
        <c:ser>
          <c:idx val="9"/>
          <c:order val="5"/>
          <c:tx>
            <c:v>NS~B</c:v>
          </c:tx>
          <c:spPr>
            <a:ln w="25400">
              <a:solidFill>
                <a:srgbClr val="993300"/>
              </a:solidFill>
              <a:prstDash val="solid"/>
            </a:ln>
          </c:spPr>
          <c:marker>
            <c:symbol val="none"/>
          </c:marker>
          <c:xVal>
            <c:numRef>
              <c:f>(Gra!$I$165:$M$165,Gra!$H$166:$M$166,Gra!$H$167:$M$167,Gra!$H$169:$M$169,Gra!$H$171:$M$171,Gra!$H$173:$M$173)</c:f>
              <c:numCache>
                <c:formatCode>0.0</c:formatCode>
                <c:ptCount val="35"/>
                <c:pt idx="0">
                  <c:v>735</c:v>
                </c:pt>
                <c:pt idx="1">
                  <c:v>735</c:v>
                </c:pt>
                <c:pt idx="3">
                  <c:v>735</c:v>
                </c:pt>
                <c:pt idx="4">
                  <c:v>735</c:v>
                </c:pt>
                <c:pt idx="6">
                  <c:v>-35</c:v>
                </c:pt>
                <c:pt idx="7">
                  <c:v>-35</c:v>
                </c:pt>
                <c:pt idx="9">
                  <c:v>190</c:v>
                </c:pt>
                <c:pt idx="10">
                  <c:v>190</c:v>
                </c:pt>
                <c:pt idx="12">
                  <c:v>221</c:v>
                </c:pt>
                <c:pt idx="13">
                  <c:v>221</c:v>
                </c:pt>
                <c:pt idx="15">
                  <c:v>554</c:v>
                </c:pt>
                <c:pt idx="16">
                  <c:v>554</c:v>
                </c:pt>
                <c:pt idx="18">
                  <c:v>477</c:v>
                </c:pt>
                <c:pt idx="19">
                  <c:v>477</c:v>
                </c:pt>
                <c:pt idx="21">
                  <c:v>371</c:v>
                </c:pt>
                <c:pt idx="22">
                  <c:v>371</c:v>
                </c:pt>
                <c:pt idx="24">
                  <c:v>0</c:v>
                </c:pt>
                <c:pt idx="25">
                  <c:v>0</c:v>
                </c:pt>
                <c:pt idx="27">
                  <c:v>0</c:v>
                </c:pt>
                <c:pt idx="28">
                  <c:v>0</c:v>
                </c:pt>
                <c:pt idx="30">
                  <c:v>0</c:v>
                </c:pt>
                <c:pt idx="31">
                  <c:v>0</c:v>
                </c:pt>
                <c:pt idx="33">
                  <c:v>0</c:v>
                </c:pt>
                <c:pt idx="34">
                  <c:v>0</c:v>
                </c:pt>
              </c:numCache>
            </c:numRef>
          </c:xVal>
          <c:yVal>
            <c:numRef>
              <c:f>(Gra!$I$168:$M$168,Gra!$H$168:$M$168,Gra!$H$168:$M$168,Gra!$H$170:$M$170,Gra!$H$172:$M$172,Gra!$H$174:$M$174)</c:f>
              <c:numCache>
                <c:formatCode>0.0</c:formatCode>
                <c:ptCount val="35"/>
                <c:pt idx="0">
                  <c:v>-90</c:v>
                </c:pt>
                <c:pt idx="1">
                  <c:v>-360</c:v>
                </c:pt>
                <c:pt idx="3">
                  <c:v>315</c:v>
                </c:pt>
                <c:pt idx="4">
                  <c:v>585</c:v>
                </c:pt>
                <c:pt idx="6">
                  <c:v>-90</c:v>
                </c:pt>
                <c:pt idx="7">
                  <c:v>-360</c:v>
                </c:pt>
                <c:pt idx="9">
                  <c:v>315</c:v>
                </c:pt>
                <c:pt idx="10">
                  <c:v>585</c:v>
                </c:pt>
                <c:pt idx="12">
                  <c:v>-90</c:v>
                </c:pt>
                <c:pt idx="13">
                  <c:v>-360</c:v>
                </c:pt>
                <c:pt idx="15">
                  <c:v>315</c:v>
                </c:pt>
                <c:pt idx="16">
                  <c:v>585</c:v>
                </c:pt>
                <c:pt idx="18">
                  <c:v>-90</c:v>
                </c:pt>
                <c:pt idx="19">
                  <c:v>-360</c:v>
                </c:pt>
                <c:pt idx="21">
                  <c:v>315</c:v>
                </c:pt>
                <c:pt idx="22">
                  <c:v>585</c:v>
                </c:pt>
                <c:pt idx="24">
                  <c:v>0</c:v>
                </c:pt>
                <c:pt idx="25">
                  <c:v>0</c:v>
                </c:pt>
                <c:pt idx="27">
                  <c:v>0</c:v>
                </c:pt>
                <c:pt idx="28">
                  <c:v>0</c:v>
                </c:pt>
                <c:pt idx="30">
                  <c:v>0</c:v>
                </c:pt>
                <c:pt idx="31">
                  <c:v>0</c:v>
                </c:pt>
                <c:pt idx="33">
                  <c:v>0</c:v>
                </c:pt>
                <c:pt idx="34">
                  <c:v>0</c:v>
                </c:pt>
              </c:numCache>
            </c:numRef>
          </c:yVal>
          <c:smooth val="0"/>
          <c:extLst>
            <c:ext xmlns:c16="http://schemas.microsoft.com/office/drawing/2014/chart" uri="{C3380CC4-5D6E-409C-BE32-E72D297353CC}">
              <c16:uniqueId val="{00000005-B718-4D9D-9BB8-D2A08DAB6D67}"/>
            </c:ext>
          </c:extLst>
        </c:ser>
        <c:ser>
          <c:idx val="10"/>
          <c:order val="6"/>
          <c:tx>
            <c:strRef>
              <c:f>Gra!$B$175</c:f>
              <c:strCache>
                <c:ptCount val="1"/>
                <c:pt idx="0">
                  <c:v>Edge</c:v>
                </c:pt>
              </c:strCache>
            </c:strRef>
          </c:tx>
          <c:spPr>
            <a:ln w="12700">
              <a:solidFill>
                <a:srgbClr val="002469"/>
              </a:solidFill>
              <a:prstDash val="solid"/>
            </a:ln>
          </c:spPr>
          <c:marker>
            <c:symbol val="none"/>
          </c:marker>
          <c:xVal>
            <c:numRef>
              <c:f>Gra!$C$175:$G$175</c:f>
              <c:numCache>
                <c:formatCode>General</c:formatCode>
                <c:ptCount val="5"/>
                <c:pt idx="0">
                  <c:v>150</c:v>
                </c:pt>
                <c:pt idx="1">
                  <c:v>150</c:v>
                </c:pt>
                <c:pt idx="3">
                  <c:v>-450</c:v>
                </c:pt>
                <c:pt idx="4">
                  <c:v>150</c:v>
                </c:pt>
              </c:numCache>
            </c:numRef>
          </c:xVal>
          <c:yVal>
            <c:numRef>
              <c:f>Gra!$C$176:$G$176</c:f>
              <c:numCache>
                <c:formatCode>General</c:formatCode>
                <c:ptCount val="5"/>
                <c:pt idx="0">
                  <c:v>225</c:v>
                </c:pt>
                <c:pt idx="1">
                  <c:v>675</c:v>
                </c:pt>
                <c:pt idx="3">
                  <c:v>225</c:v>
                </c:pt>
                <c:pt idx="4">
                  <c:v>225</c:v>
                </c:pt>
              </c:numCache>
            </c:numRef>
          </c:yVal>
          <c:smooth val="0"/>
          <c:extLst>
            <c:ext xmlns:c16="http://schemas.microsoft.com/office/drawing/2014/chart" uri="{C3380CC4-5D6E-409C-BE32-E72D297353CC}">
              <c16:uniqueId val="{00000006-B718-4D9D-9BB8-D2A08DAB6D67}"/>
            </c:ext>
          </c:extLst>
        </c:ser>
        <c:ser>
          <c:idx val="0"/>
          <c:order val="7"/>
          <c:tx>
            <c:v>column</c:v>
          </c:tx>
          <c:spPr>
            <a:ln w="38100">
              <a:solidFill>
                <a:srgbClr val="000000"/>
              </a:solidFill>
              <a:prstDash val="solid"/>
            </a:ln>
          </c:spPr>
          <c:marker>
            <c:symbol val="none"/>
          </c:marker>
          <c:xVal>
            <c:numRef>
              <c:f>Gra!$C$137:$G$137</c:f>
              <c:numCache>
                <c:formatCode>General</c:formatCode>
                <c:ptCount val="5"/>
                <c:pt idx="0">
                  <c:v>0</c:v>
                </c:pt>
                <c:pt idx="1">
                  <c:v>0</c:v>
                </c:pt>
                <c:pt idx="2">
                  <c:v>700</c:v>
                </c:pt>
                <c:pt idx="3">
                  <c:v>700</c:v>
                </c:pt>
                <c:pt idx="4">
                  <c:v>0</c:v>
                </c:pt>
              </c:numCache>
            </c:numRef>
          </c:xVal>
          <c:yVal>
            <c:numRef>
              <c:f>Gra!$C$138:$G$138</c:f>
              <c:numCache>
                <c:formatCode>General</c:formatCode>
                <c:ptCount val="5"/>
                <c:pt idx="0">
                  <c:v>0</c:v>
                </c:pt>
                <c:pt idx="1">
                  <c:v>225</c:v>
                </c:pt>
                <c:pt idx="2">
                  <c:v>225</c:v>
                </c:pt>
                <c:pt idx="3">
                  <c:v>0</c:v>
                </c:pt>
                <c:pt idx="4">
                  <c:v>0</c:v>
                </c:pt>
              </c:numCache>
            </c:numRef>
          </c:yVal>
          <c:smooth val="0"/>
          <c:extLst>
            <c:ext xmlns:c16="http://schemas.microsoft.com/office/drawing/2014/chart" uri="{C3380CC4-5D6E-409C-BE32-E72D297353CC}">
              <c16:uniqueId val="{00000007-B718-4D9D-9BB8-D2A08DAB6D67}"/>
            </c:ext>
          </c:extLst>
        </c:ser>
        <c:ser>
          <c:idx val="12"/>
          <c:order val="8"/>
          <c:tx>
            <c:v>sqareit</c:v>
          </c:tx>
          <c:spPr>
            <a:ln w="12700">
              <a:solidFill>
                <a:srgbClr val="BAC0D9"/>
              </a:solidFill>
              <a:prstDash val="solid"/>
            </a:ln>
          </c:spPr>
          <c:marker>
            <c:symbol val="none"/>
          </c:marker>
          <c:xVal>
            <c:numRef>
              <c:f>Gra!$O$143</c:f>
              <c:numCache>
                <c:formatCode>General</c:formatCode>
                <c:ptCount val="1"/>
                <c:pt idx="0">
                  <c:v>1060</c:v>
                </c:pt>
              </c:numCache>
            </c:numRef>
          </c:xVal>
          <c:yVal>
            <c:numRef>
              <c:f>Gra!$O$144</c:f>
              <c:numCache>
                <c:formatCode>General</c:formatCode>
                <c:ptCount val="1"/>
                <c:pt idx="0">
                  <c:v>1150</c:v>
                </c:pt>
              </c:numCache>
            </c:numRef>
          </c:yVal>
          <c:smooth val="0"/>
          <c:extLst>
            <c:ext xmlns:c16="http://schemas.microsoft.com/office/drawing/2014/chart" uri="{C3380CC4-5D6E-409C-BE32-E72D297353CC}">
              <c16:uniqueId val="{00000008-B718-4D9D-9BB8-D2A08DAB6D67}"/>
            </c:ext>
          </c:extLst>
        </c:ser>
        <c:ser>
          <c:idx val="14"/>
          <c:order val="9"/>
          <c:tx>
            <c:v>cross</c:v>
          </c:tx>
          <c:spPr>
            <a:ln w="12700">
              <a:solidFill>
                <a:srgbClr val="0000FF"/>
              </a:solidFill>
              <a:prstDash val="solid"/>
            </a:ln>
          </c:spPr>
          <c:marker>
            <c:symbol val="none"/>
          </c:marker>
          <c:xVal>
            <c:numRef>
              <c:f>Gra!$I$177:$M$177</c:f>
              <c:numCache>
                <c:formatCode>General</c:formatCode>
                <c:ptCount val="5"/>
                <c:pt idx="0">
                  <c:v>350</c:v>
                </c:pt>
                <c:pt idx="1">
                  <c:v>350</c:v>
                </c:pt>
                <c:pt idx="3">
                  <c:v>350</c:v>
                </c:pt>
                <c:pt idx="4">
                  <c:v>350</c:v>
                </c:pt>
              </c:numCache>
            </c:numRef>
          </c:xVal>
          <c:yVal>
            <c:numRef>
              <c:f>Gra!$I$178:$M$178</c:f>
              <c:numCache>
                <c:formatCode>General</c:formatCode>
                <c:ptCount val="5"/>
                <c:pt idx="0">
                  <c:v>112.5</c:v>
                </c:pt>
                <c:pt idx="1">
                  <c:v>112.5</c:v>
                </c:pt>
                <c:pt idx="3">
                  <c:v>112.5</c:v>
                </c:pt>
                <c:pt idx="4">
                  <c:v>112.5</c:v>
                </c:pt>
              </c:numCache>
            </c:numRef>
          </c:yVal>
          <c:smooth val="0"/>
          <c:extLst>
            <c:ext xmlns:c16="http://schemas.microsoft.com/office/drawing/2014/chart" uri="{C3380CC4-5D6E-409C-BE32-E72D297353CC}">
              <c16:uniqueId val="{00000009-B718-4D9D-9BB8-D2A08DAB6D67}"/>
            </c:ext>
          </c:extLst>
        </c:ser>
        <c:ser>
          <c:idx val="2"/>
          <c:order val="10"/>
          <c:tx>
            <c:v>Extra</c:v>
          </c:tx>
          <c:spPr>
            <a:ln w="25400">
              <a:solidFill>
                <a:srgbClr val="339966"/>
              </a:solidFill>
              <a:prstDash val="solid"/>
            </a:ln>
          </c:spPr>
          <c:marker>
            <c:symbol val="none"/>
          </c:marker>
          <c:xVal>
            <c:numRef>
              <c:f>(Gra!$C$181:$N$181,Gra!$C$185:$N$185,Gra!$C$189:$D$189)</c:f>
              <c:numCache>
                <c:formatCode>0.0</c:formatCode>
                <c:ptCount val="26"/>
                <c:pt idx="0">
                  <c:v>0</c:v>
                </c:pt>
                <c:pt idx="1">
                  <c:v>0</c:v>
                </c:pt>
                <c:pt idx="3">
                  <c:v>0</c:v>
                </c:pt>
                <c:pt idx="4">
                  <c:v>0</c:v>
                </c:pt>
                <c:pt idx="6">
                  <c:v>0</c:v>
                </c:pt>
                <c:pt idx="7">
                  <c:v>0</c:v>
                </c:pt>
                <c:pt idx="9">
                  <c:v>0</c:v>
                </c:pt>
                <c:pt idx="10">
                  <c:v>0</c:v>
                </c:pt>
                <c:pt idx="12">
                  <c:v>0</c:v>
                </c:pt>
                <c:pt idx="13">
                  <c:v>0</c:v>
                </c:pt>
                <c:pt idx="15">
                  <c:v>0</c:v>
                </c:pt>
                <c:pt idx="16">
                  <c:v>0</c:v>
                </c:pt>
                <c:pt idx="18">
                  <c:v>0</c:v>
                </c:pt>
                <c:pt idx="19">
                  <c:v>0</c:v>
                </c:pt>
                <c:pt idx="21">
                  <c:v>0</c:v>
                </c:pt>
                <c:pt idx="22">
                  <c:v>0</c:v>
                </c:pt>
                <c:pt idx="24">
                  <c:v>0</c:v>
                </c:pt>
                <c:pt idx="25">
                  <c:v>0</c:v>
                </c:pt>
              </c:numCache>
            </c:numRef>
          </c:xVal>
          <c:yVal>
            <c:numRef>
              <c:f>(Gra!$C$182:$N$182,Gra!$C$186:$N$186,Gra!$C$190:$D$190)</c:f>
              <c:numCache>
                <c:formatCode>0.0</c:formatCode>
                <c:ptCount val="26"/>
                <c:pt idx="0">
                  <c:v>0</c:v>
                </c:pt>
                <c:pt idx="1">
                  <c:v>0</c:v>
                </c:pt>
                <c:pt idx="3">
                  <c:v>0</c:v>
                </c:pt>
                <c:pt idx="4">
                  <c:v>0</c:v>
                </c:pt>
                <c:pt idx="6">
                  <c:v>0</c:v>
                </c:pt>
                <c:pt idx="7">
                  <c:v>0</c:v>
                </c:pt>
                <c:pt idx="9">
                  <c:v>0</c:v>
                </c:pt>
                <c:pt idx="10">
                  <c:v>0</c:v>
                </c:pt>
                <c:pt idx="12">
                  <c:v>0</c:v>
                </c:pt>
                <c:pt idx="13">
                  <c:v>0</c:v>
                </c:pt>
                <c:pt idx="15">
                  <c:v>0</c:v>
                </c:pt>
                <c:pt idx="16">
                  <c:v>0</c:v>
                </c:pt>
                <c:pt idx="18">
                  <c:v>0</c:v>
                </c:pt>
                <c:pt idx="19">
                  <c:v>0</c:v>
                </c:pt>
                <c:pt idx="21">
                  <c:v>0</c:v>
                </c:pt>
                <c:pt idx="22">
                  <c:v>0</c:v>
                </c:pt>
                <c:pt idx="24">
                  <c:v>0</c:v>
                </c:pt>
                <c:pt idx="25">
                  <c:v>0</c:v>
                </c:pt>
              </c:numCache>
            </c:numRef>
          </c:yVal>
          <c:smooth val="0"/>
          <c:extLst>
            <c:ext xmlns:c16="http://schemas.microsoft.com/office/drawing/2014/chart" uri="{C3380CC4-5D6E-409C-BE32-E72D297353CC}">
              <c16:uniqueId val="{0000000A-B718-4D9D-9BB8-D2A08DAB6D67}"/>
            </c:ext>
          </c:extLst>
        </c:ser>
        <c:ser>
          <c:idx val="4"/>
          <c:order val="11"/>
          <c:tx>
            <c:v>Blockout</c:v>
          </c:tx>
          <c:spPr>
            <a:ln w="19050">
              <a:solidFill>
                <a:schemeClr val="bg1">
                  <a:lumMod val="50000"/>
                </a:schemeClr>
              </a:solidFill>
              <a:prstDash val="sysDash"/>
            </a:ln>
          </c:spPr>
          <c:marker>
            <c:symbol val="none"/>
          </c:marker>
          <c:xVal>
            <c:numRef>
              <c:f>REENTRANT!$N$46:$P$46</c:f>
              <c:numCache>
                <c:formatCode>General</c:formatCode>
                <c:ptCount val="3"/>
                <c:pt idx="0">
                  <c:v>350</c:v>
                </c:pt>
                <c:pt idx="1">
                  <c:v>350</c:v>
                </c:pt>
                <c:pt idx="2">
                  <c:v>350</c:v>
                </c:pt>
              </c:numCache>
            </c:numRef>
          </c:xVal>
          <c:yVal>
            <c:numRef>
              <c:f>REENTRANT!$N$47:$P$47</c:f>
              <c:numCache>
                <c:formatCode>General</c:formatCode>
                <c:ptCount val="3"/>
                <c:pt idx="0">
                  <c:v>112.5</c:v>
                </c:pt>
                <c:pt idx="1">
                  <c:v>112.5</c:v>
                </c:pt>
                <c:pt idx="2">
                  <c:v>112.5</c:v>
                </c:pt>
              </c:numCache>
            </c:numRef>
          </c:yVal>
          <c:smooth val="0"/>
          <c:extLst>
            <c:ext xmlns:c16="http://schemas.microsoft.com/office/drawing/2014/chart" uri="{C3380CC4-5D6E-409C-BE32-E72D297353CC}">
              <c16:uniqueId val="{0000000B-B718-4D9D-9BB8-D2A08DAB6D67}"/>
            </c:ext>
          </c:extLst>
        </c:ser>
        <c:dLbls>
          <c:showLegendKey val="0"/>
          <c:showVal val="0"/>
          <c:showCatName val="0"/>
          <c:showSerName val="0"/>
          <c:showPercent val="0"/>
          <c:showBubbleSize val="0"/>
        </c:dLbls>
        <c:axId val="195568768"/>
        <c:axId val="198335808"/>
      </c:scatterChart>
      <c:valAx>
        <c:axId val="195568768"/>
        <c:scaling>
          <c:orientation val="minMax"/>
        </c:scaling>
        <c:delete val="1"/>
        <c:axPos val="b"/>
        <c:numFmt formatCode="General" sourceLinked="1"/>
        <c:majorTickMark val="out"/>
        <c:minorTickMark val="none"/>
        <c:tickLblPos val="nextTo"/>
        <c:crossAx val="198335808"/>
        <c:crosses val="autoZero"/>
        <c:crossBetween val="midCat"/>
        <c:majorUnit val="100"/>
      </c:valAx>
      <c:valAx>
        <c:axId val="198335808"/>
        <c:scaling>
          <c:orientation val="minMax"/>
        </c:scaling>
        <c:delete val="1"/>
        <c:axPos val="l"/>
        <c:numFmt formatCode="General" sourceLinked="1"/>
        <c:majorTickMark val="out"/>
        <c:minorTickMark val="none"/>
        <c:tickLblPos val="nextTo"/>
        <c:crossAx val="195568768"/>
        <c:crosses val="autoZero"/>
        <c:crossBetween val="midCat"/>
        <c:majorUnit val="100"/>
      </c:valAx>
      <c:spPr>
        <a:solidFill>
          <a:srgbClr val="F7F3DD"/>
        </a:solidFill>
        <a:ln w="25400">
          <a:noFill/>
        </a:ln>
      </c:spPr>
    </c:plotArea>
    <c:plotVisOnly val="1"/>
    <c:dispBlanksAs val="gap"/>
    <c:showDLblsOverMax val="0"/>
  </c:chart>
  <c:spPr>
    <a:solidFill>
      <a:srgbClr val="E5E9F0"/>
    </a:solidFill>
    <a:ln w="3175">
      <a:solidFill>
        <a:srgbClr val="002469"/>
      </a:solidFill>
      <a:prstDash val="solid"/>
    </a:ln>
  </c:spPr>
  <c:txPr>
    <a:bodyPr/>
    <a:lstStyle/>
    <a:p>
      <a:pPr>
        <a:defRPr sz="525" b="0" i="0" u="none" strike="noStrike" baseline="0">
          <a:solidFill>
            <a:srgbClr val="000000"/>
          </a:solidFill>
          <a:latin typeface="Technical"/>
          <a:ea typeface="Technical"/>
          <a:cs typeface="Technical"/>
        </a:defRPr>
      </a:pPr>
      <a:endParaRPr lang="en-US"/>
    </a:p>
  </c:txPr>
  <c:printSettings>
    <c:headerFooter alignWithMargins="0"/>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5.png"/><Relationship Id="rId1" Type="http://schemas.openxmlformats.org/officeDocument/2006/relationships/chart" Target="../charts/chart1.xml"/><Relationship Id="rId4" Type="http://schemas.openxmlformats.org/officeDocument/2006/relationships/image" Target="../media/image7.emf"/></Relationships>
</file>

<file path=xl/drawings/_rels/drawing2.xml.rels><?xml version="1.0" encoding="UTF-8" standalone="yes"?>
<Relationships xmlns="http://schemas.openxmlformats.org/package/2006/relationships"><Relationship Id="rId3" Type="http://schemas.openxmlformats.org/officeDocument/2006/relationships/image" Target="../media/image9.jpeg"/><Relationship Id="rId2" Type="http://schemas.openxmlformats.org/officeDocument/2006/relationships/image" Target="../media/image5.png"/><Relationship Id="rId1" Type="http://schemas.openxmlformats.org/officeDocument/2006/relationships/chart" Target="../charts/chart2.xml"/><Relationship Id="rId4" Type="http://schemas.openxmlformats.org/officeDocument/2006/relationships/image" Target="../media/image7.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1.jpeg"/><Relationship Id="rId1" Type="http://schemas.openxmlformats.org/officeDocument/2006/relationships/chart" Target="../charts/chart3.xml"/><Relationship Id="rId4" Type="http://schemas.openxmlformats.org/officeDocument/2006/relationships/image" Target="../media/image7.emf"/></Relationships>
</file>

<file path=xl/drawings/_rels/drawing4.x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5.png"/><Relationship Id="rId1" Type="http://schemas.openxmlformats.org/officeDocument/2006/relationships/chart" Target="../charts/chart4.xml"/><Relationship Id="rId4" Type="http://schemas.openxmlformats.org/officeDocument/2006/relationships/image" Target="../media/image7.emf"/></Relationships>
</file>

<file path=xl/drawings/_rels/drawing5.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19.emf"/></Relationships>
</file>

<file path=xl/drawings/_rels/drawing7.xml.rels><?xml version="1.0" encoding="UTF-8" standalone="yes"?>
<Relationships xmlns="http://schemas.openxmlformats.org/package/2006/relationships"><Relationship Id="rId1" Type="http://schemas.openxmlformats.org/officeDocument/2006/relationships/image" Target="../media/image21.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xdr:twoCellAnchor editAs="oneCell">
    <xdr:from>
      <xdr:col>8</xdr:col>
      <xdr:colOff>304800</xdr:colOff>
      <xdr:row>26</xdr:row>
      <xdr:rowOff>76200</xdr:rowOff>
    </xdr:from>
    <xdr:to>
      <xdr:col>11</xdr:col>
      <xdr:colOff>638175</xdr:colOff>
      <xdr:row>37</xdr:row>
      <xdr:rowOff>113123</xdr:rowOff>
    </xdr:to>
    <xdr:graphicFrame macro="">
      <xdr:nvGraphicFramePr>
        <xdr:cNvPr id="1587" name="Chart 110">
          <a:extLst>
            <a:ext uri="{FF2B5EF4-FFF2-40B4-BE49-F238E27FC236}">
              <a16:creationId xmlns:a16="http://schemas.microsoft.com/office/drawing/2014/main" id="{00000000-0008-0000-0000-000033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152400</xdr:colOff>
      <xdr:row>1</xdr:row>
      <xdr:rowOff>0</xdr:rowOff>
    </xdr:from>
    <xdr:to>
      <xdr:col>12</xdr:col>
      <xdr:colOff>3143250</xdr:colOff>
      <xdr:row>5</xdr:row>
      <xdr:rowOff>171236</xdr:rowOff>
    </xdr:to>
    <xdr:sp macro="" textlink="">
      <xdr:nvSpPr>
        <xdr:cNvPr id="1352" name="Text Box 328">
          <a:extLst>
            <a:ext uri="{FF2B5EF4-FFF2-40B4-BE49-F238E27FC236}">
              <a16:creationId xmlns:a16="http://schemas.microsoft.com/office/drawing/2014/main" id="{00000000-0008-0000-0000-000048050000}"/>
            </a:ext>
          </a:extLst>
        </xdr:cNvPr>
        <xdr:cNvSpPr txBox="1">
          <a:spLocks noChangeArrowheads="1"/>
        </xdr:cNvSpPr>
      </xdr:nvSpPr>
      <xdr:spPr bwMode="auto">
        <a:xfrm>
          <a:off x="8789113" y="256854"/>
          <a:ext cx="2990850" cy="1220056"/>
        </a:xfrm>
        <a:prstGeom prst="rect">
          <a:avLst/>
        </a:prstGeom>
        <a:gradFill rotWithShape="1">
          <a:gsLst>
            <a:gs pos="0">
              <a:srgbClr val="FFFFFF"/>
            </a:gs>
            <a:gs pos="100000">
              <a:srgbClr val="E5E9F0"/>
            </a:gs>
          </a:gsLst>
          <a:lin ang="5400000" scaled="1"/>
        </a:gradFill>
        <a:ln w="19050">
          <a:solidFill>
            <a:srgbClr val="000000"/>
          </a:solidFill>
          <a:miter lim="800000"/>
          <a:headEnd/>
          <a:tailEnd/>
        </a:ln>
      </xdr:spPr>
      <xdr:txBody>
        <a:bodyPr vertOverflow="clip" wrap="square" lIns="36576" tIns="36576" rIns="0" bIns="0" anchor="t" upright="1"/>
        <a:lstStyle/>
        <a:p>
          <a:pPr algn="l" rtl="0">
            <a:defRPr sz="1000"/>
          </a:pPr>
          <a:r>
            <a:rPr lang="en-GB" sz="1200" b="1" i="0" u="none" strike="noStrike" baseline="0">
              <a:solidFill>
                <a:srgbClr val="000000"/>
              </a:solidFill>
              <a:latin typeface="Trebuchet MS"/>
            </a:rPr>
            <a:t>OPERATING INSTRUCTIONS</a:t>
          </a:r>
          <a:endParaRPr lang="en-GB" sz="1200" b="0" i="0" u="none" strike="noStrike" baseline="0">
            <a:solidFill>
              <a:srgbClr val="000000"/>
            </a:solidFill>
            <a:latin typeface="Trebuchet MS"/>
          </a:endParaRPr>
        </a:p>
        <a:p>
          <a:pPr algn="l" rtl="0">
            <a:defRPr sz="1000"/>
          </a:pPr>
          <a:endParaRPr lang="en-GB" sz="1200" b="0" i="0" u="none" strike="noStrike" baseline="0">
            <a:solidFill>
              <a:srgbClr val="000000"/>
            </a:solidFill>
            <a:latin typeface="Trebuchet MS"/>
          </a:endParaRPr>
        </a:p>
        <a:p>
          <a:pPr algn="l" rtl="0">
            <a:defRPr sz="1000"/>
          </a:pPr>
          <a:r>
            <a:rPr lang="en-GB" sz="1200" b="0" i="0" u="none" strike="noStrike" baseline="0">
              <a:solidFill>
                <a:srgbClr val="000000"/>
              </a:solidFill>
              <a:latin typeface="Trebuchet MS"/>
            </a:rPr>
            <a:t>ENTER DATA IN</a:t>
          </a:r>
          <a:r>
            <a:rPr lang="en-GB" sz="1200" b="1" i="0" u="none" strike="noStrike" baseline="0">
              <a:solidFill>
                <a:srgbClr val="0000FF"/>
              </a:solidFill>
              <a:latin typeface="Trebuchet MS"/>
            </a:rPr>
            <a:t> BLUE CELLS</a:t>
          </a:r>
          <a:r>
            <a:rPr lang="en-GB" sz="1200" b="0" i="0" u="none" strike="noStrike" baseline="0">
              <a:solidFill>
                <a:srgbClr val="000000"/>
              </a:solidFill>
              <a:latin typeface="Trebuchet MS"/>
            </a:rPr>
            <a:t> ONLY.</a:t>
          </a:r>
        </a:p>
        <a:p>
          <a:pPr algn="l" rtl="0">
            <a:defRPr sz="1000"/>
          </a:pPr>
          <a:r>
            <a:rPr lang="en-GB" sz="1200" b="1" i="0" u="none" strike="noStrike" baseline="0">
              <a:solidFill>
                <a:srgbClr val="FF0000"/>
              </a:solidFill>
              <a:latin typeface="Trebuchet MS"/>
            </a:rPr>
            <a:t>RED MESSAGES</a:t>
          </a:r>
          <a:r>
            <a:rPr lang="en-GB" sz="1200" b="0" i="0" u="none" strike="noStrike" baseline="0">
              <a:solidFill>
                <a:srgbClr val="000000"/>
              </a:solidFill>
              <a:latin typeface="Trebuchet MS"/>
            </a:rPr>
            <a:t> INDICATE ENTRY ERRORS.</a:t>
          </a:r>
        </a:p>
        <a:p>
          <a:pPr algn="l" rtl="0">
            <a:defRPr sz="1000"/>
          </a:pPr>
          <a:endParaRPr lang="en-GB" sz="1200" b="0" i="0" u="none" strike="noStrike" baseline="0">
            <a:solidFill>
              <a:srgbClr val="000000"/>
            </a:solidFill>
            <a:latin typeface="Trebuchet MS"/>
          </a:endParaRPr>
        </a:p>
        <a:p>
          <a:pPr algn="l" rtl="0">
            <a:defRPr sz="1000"/>
          </a:pPr>
          <a:r>
            <a:rPr lang="en-GB" sz="1200" b="0" i="0" u="none" strike="noStrike" baseline="0">
              <a:solidFill>
                <a:srgbClr val="000000"/>
              </a:solidFill>
              <a:latin typeface="Trebuchet MS"/>
            </a:rPr>
            <a:t>Please load the </a:t>
          </a:r>
          <a:r>
            <a:rPr lang="en-GB" sz="1200" b="1" i="0" u="none" strike="noStrike" baseline="0">
              <a:solidFill>
                <a:schemeClr val="accent6">
                  <a:lumMod val="50000"/>
                </a:schemeClr>
              </a:solidFill>
              <a:latin typeface="Tekton" panose="020B0603050302020204" pitchFamily="34" charset="0"/>
            </a:rPr>
            <a:t>TEKTON </a:t>
          </a:r>
          <a:r>
            <a:rPr lang="en-GB" sz="1200" b="0" i="0" u="none" strike="noStrike" baseline="0">
              <a:solidFill>
                <a:srgbClr val="000000"/>
              </a:solidFill>
              <a:latin typeface="Trebuchet MS"/>
            </a:rPr>
            <a:t>fonts.</a:t>
          </a:r>
        </a:p>
      </xdr:txBody>
    </xdr:sp>
    <xdr:clientData/>
  </xdr:twoCellAnchor>
  <xdr:twoCellAnchor editAs="oneCell">
    <xdr:from>
      <xdr:col>1</xdr:col>
      <xdr:colOff>38100</xdr:colOff>
      <xdr:row>4</xdr:row>
      <xdr:rowOff>171450</xdr:rowOff>
    </xdr:from>
    <xdr:to>
      <xdr:col>1</xdr:col>
      <xdr:colOff>914400</xdr:colOff>
      <xdr:row>5</xdr:row>
      <xdr:rowOff>209550</xdr:rowOff>
    </xdr:to>
    <xdr:pic>
      <xdr:nvPicPr>
        <xdr:cNvPr id="1589" name="Picture 344" descr="eurocode">
          <a:extLst>
            <a:ext uri="{FF2B5EF4-FFF2-40B4-BE49-F238E27FC236}">
              <a16:creationId xmlns:a16="http://schemas.microsoft.com/office/drawing/2014/main" id="{00000000-0008-0000-0000-0000350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90525" y="1238250"/>
          <a:ext cx="876300"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695325</xdr:colOff>
      <xdr:row>7</xdr:row>
      <xdr:rowOff>216506</xdr:rowOff>
    </xdr:from>
    <xdr:to>
      <xdr:col>11</xdr:col>
      <xdr:colOff>676275</xdr:colOff>
      <xdr:row>17</xdr:row>
      <xdr:rowOff>1283</xdr:rowOff>
    </xdr:to>
    <xdr:pic>
      <xdr:nvPicPr>
        <xdr:cNvPr id="1590" name="Picture 463" descr="Punchy~int">
          <a:extLst>
            <a:ext uri="{FF2B5EF4-FFF2-40B4-BE49-F238E27FC236}">
              <a16:creationId xmlns:a16="http://schemas.microsoft.com/office/drawing/2014/main" id="{00000000-0008-0000-0000-0000360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479229" y="2003781"/>
          <a:ext cx="3009686" cy="200014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723900</xdr:colOff>
      <xdr:row>1</xdr:row>
      <xdr:rowOff>38100</xdr:rowOff>
    </xdr:from>
    <xdr:to>
      <xdr:col>7</xdr:col>
      <xdr:colOff>649605</xdr:colOff>
      <xdr:row>3</xdr:row>
      <xdr:rowOff>95250</xdr:rowOff>
    </xdr:to>
    <xdr:pic>
      <xdr:nvPicPr>
        <xdr:cNvPr id="1591" name="Picture 486">
          <a:extLst>
            <a:ext uri="{FF2B5EF4-FFF2-40B4-BE49-F238E27FC236}">
              <a16:creationId xmlns:a16="http://schemas.microsoft.com/office/drawing/2014/main" id="{00000000-0008-0000-0000-0000370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76625" y="295275"/>
          <a:ext cx="1981200" cy="619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142875</xdr:colOff>
          <xdr:row>9</xdr:row>
          <xdr:rowOff>28575</xdr:rowOff>
        </xdr:from>
        <xdr:to>
          <xdr:col>12</xdr:col>
          <xdr:colOff>2095500</xdr:colOff>
          <xdr:row>10</xdr:row>
          <xdr:rowOff>95250</xdr:rowOff>
        </xdr:to>
        <xdr:sp macro="" textlink="">
          <xdr:nvSpPr>
            <xdr:cNvPr id="1029" name="ComboBox2"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1247775</xdr:colOff>
          <xdr:row>11</xdr:row>
          <xdr:rowOff>0</xdr:rowOff>
        </xdr:from>
        <xdr:to>
          <xdr:col>12</xdr:col>
          <xdr:colOff>1933575</xdr:colOff>
          <xdr:row>12</xdr:row>
          <xdr:rowOff>57150</xdr:rowOff>
        </xdr:to>
        <xdr:sp macro="" textlink="">
          <xdr:nvSpPr>
            <xdr:cNvPr id="1446" name="ComboBox1" hidden="1">
              <a:extLst>
                <a:ext uri="{63B3BB69-23CF-44E3-9099-C40C66FF867C}">
                  <a14:compatExt spid="_x0000_s1446"/>
                </a:ext>
                <a:ext uri="{FF2B5EF4-FFF2-40B4-BE49-F238E27FC236}">
                  <a16:creationId xmlns:a16="http://schemas.microsoft.com/office/drawing/2014/main" id="{00000000-0008-0000-0000-0000A605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1152525</xdr:colOff>
          <xdr:row>13</xdr:row>
          <xdr:rowOff>0</xdr:rowOff>
        </xdr:from>
        <xdr:to>
          <xdr:col>12</xdr:col>
          <xdr:colOff>2286000</xdr:colOff>
          <xdr:row>14</xdr:row>
          <xdr:rowOff>47625</xdr:rowOff>
        </xdr:to>
        <xdr:sp macro="" textlink="">
          <xdr:nvSpPr>
            <xdr:cNvPr id="1450" name="ComboBox3" hidden="1">
              <a:extLst>
                <a:ext uri="{63B3BB69-23CF-44E3-9099-C40C66FF867C}">
                  <a14:compatExt spid="_x0000_s1450"/>
                </a:ext>
                <a:ext uri="{FF2B5EF4-FFF2-40B4-BE49-F238E27FC236}">
                  <a16:creationId xmlns:a16="http://schemas.microsoft.com/office/drawing/2014/main" id="{00000000-0008-0000-0000-0000AA05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238125</xdr:colOff>
      <xdr:row>27</xdr:row>
      <xdr:rowOff>76200</xdr:rowOff>
    </xdr:from>
    <xdr:to>
      <xdr:col>11</xdr:col>
      <xdr:colOff>676275</xdr:colOff>
      <xdr:row>38</xdr:row>
      <xdr:rowOff>161925</xdr:rowOff>
    </xdr:to>
    <xdr:graphicFrame macro="">
      <xdr:nvGraphicFramePr>
        <xdr:cNvPr id="3467" name="Chart 2">
          <a:extLst>
            <a:ext uri="{FF2B5EF4-FFF2-40B4-BE49-F238E27FC236}">
              <a16:creationId xmlns:a16="http://schemas.microsoft.com/office/drawing/2014/main" id="{00000000-0008-0000-0100-00008B0D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152400</xdr:colOff>
      <xdr:row>1</xdr:row>
      <xdr:rowOff>0</xdr:rowOff>
    </xdr:from>
    <xdr:to>
      <xdr:col>12</xdr:col>
      <xdr:colOff>3143250</xdr:colOff>
      <xdr:row>4</xdr:row>
      <xdr:rowOff>66675</xdr:rowOff>
    </xdr:to>
    <xdr:sp macro="" textlink="">
      <xdr:nvSpPr>
        <xdr:cNvPr id="3224" name="Text Box 152">
          <a:extLst>
            <a:ext uri="{FF2B5EF4-FFF2-40B4-BE49-F238E27FC236}">
              <a16:creationId xmlns:a16="http://schemas.microsoft.com/office/drawing/2014/main" id="{00000000-0008-0000-0100-0000980C0000}"/>
            </a:ext>
          </a:extLst>
        </xdr:cNvPr>
        <xdr:cNvSpPr txBox="1">
          <a:spLocks noChangeArrowheads="1"/>
        </xdr:cNvSpPr>
      </xdr:nvSpPr>
      <xdr:spPr bwMode="auto">
        <a:xfrm>
          <a:off x="7905750" y="257175"/>
          <a:ext cx="2695575" cy="962025"/>
        </a:xfrm>
        <a:prstGeom prst="rect">
          <a:avLst/>
        </a:prstGeom>
        <a:gradFill rotWithShape="1">
          <a:gsLst>
            <a:gs pos="0">
              <a:srgbClr val="FFFFFF"/>
            </a:gs>
            <a:gs pos="100000">
              <a:srgbClr val="E5E9F0"/>
            </a:gs>
          </a:gsLst>
          <a:lin ang="5400000" scaled="1"/>
        </a:gradFill>
        <a:ln w="19050">
          <a:solidFill>
            <a:srgbClr val="000000"/>
          </a:solidFill>
          <a:miter lim="800000"/>
          <a:headEnd/>
          <a:tailEnd/>
        </a:ln>
      </xdr:spPr>
      <xdr:txBody>
        <a:bodyPr vertOverflow="clip" wrap="square" lIns="36576" tIns="36576" rIns="0" bIns="0" anchor="t" upright="1"/>
        <a:lstStyle/>
        <a:p>
          <a:pPr algn="l" rtl="0">
            <a:defRPr sz="1000"/>
          </a:pPr>
          <a:r>
            <a:rPr lang="en-GB" sz="1200" b="1" i="0" u="none" strike="noStrike" baseline="0">
              <a:solidFill>
                <a:srgbClr val="000000"/>
              </a:solidFill>
              <a:latin typeface="Trebuchet MS"/>
            </a:rPr>
            <a:t>OPERATING INSTRUCTIONS</a:t>
          </a:r>
          <a:endParaRPr lang="en-GB" sz="1200" b="0" i="0" u="none" strike="noStrike" baseline="0">
            <a:solidFill>
              <a:srgbClr val="000000"/>
            </a:solidFill>
            <a:latin typeface="Trebuchet MS"/>
          </a:endParaRPr>
        </a:p>
        <a:p>
          <a:pPr algn="l" rtl="0">
            <a:defRPr sz="1000"/>
          </a:pPr>
          <a:endParaRPr lang="en-GB" sz="1200" b="0" i="0" u="none" strike="noStrike" baseline="0">
            <a:solidFill>
              <a:srgbClr val="000000"/>
            </a:solidFill>
            <a:latin typeface="Trebuchet MS"/>
          </a:endParaRPr>
        </a:p>
        <a:p>
          <a:pPr algn="l" rtl="0">
            <a:defRPr sz="1000"/>
          </a:pPr>
          <a:r>
            <a:rPr lang="en-GB" sz="1200" b="0" i="0" u="none" strike="noStrike" baseline="0">
              <a:solidFill>
                <a:srgbClr val="000000"/>
              </a:solidFill>
              <a:latin typeface="Trebuchet MS"/>
            </a:rPr>
            <a:t>ENTER DATA IN</a:t>
          </a:r>
          <a:r>
            <a:rPr lang="en-GB" sz="1200" b="1" i="0" u="none" strike="noStrike" baseline="0">
              <a:solidFill>
                <a:srgbClr val="0000FF"/>
              </a:solidFill>
              <a:latin typeface="Trebuchet MS"/>
            </a:rPr>
            <a:t> BLUE CELLS</a:t>
          </a:r>
          <a:r>
            <a:rPr lang="en-GB" sz="1200" b="0" i="0" u="none" strike="noStrike" baseline="0">
              <a:solidFill>
                <a:srgbClr val="000000"/>
              </a:solidFill>
              <a:latin typeface="Trebuchet MS"/>
            </a:rPr>
            <a:t> ONLY.</a:t>
          </a:r>
        </a:p>
        <a:p>
          <a:pPr algn="l" rtl="0">
            <a:defRPr sz="1000"/>
          </a:pPr>
          <a:r>
            <a:rPr lang="en-GB" sz="1200" b="1" i="0" u="none" strike="noStrike" baseline="0">
              <a:solidFill>
                <a:srgbClr val="FF0000"/>
              </a:solidFill>
              <a:latin typeface="Trebuchet MS"/>
            </a:rPr>
            <a:t>RED MESSAGES</a:t>
          </a:r>
          <a:r>
            <a:rPr lang="en-GB" sz="1200" b="0" i="0" u="none" strike="noStrike" baseline="0">
              <a:solidFill>
                <a:srgbClr val="000000"/>
              </a:solidFill>
              <a:latin typeface="Trebuchet MS"/>
            </a:rPr>
            <a:t> INDICATE ENTRY ERRORS.</a:t>
          </a:r>
        </a:p>
      </xdr:txBody>
    </xdr:sp>
    <xdr:clientData/>
  </xdr:twoCellAnchor>
  <xdr:twoCellAnchor editAs="oneCell">
    <xdr:from>
      <xdr:col>1</xdr:col>
      <xdr:colOff>66675</xdr:colOff>
      <xdr:row>4</xdr:row>
      <xdr:rowOff>142875</xdr:rowOff>
    </xdr:from>
    <xdr:to>
      <xdr:col>1</xdr:col>
      <xdr:colOff>942975</xdr:colOff>
      <xdr:row>5</xdr:row>
      <xdr:rowOff>180975</xdr:rowOff>
    </xdr:to>
    <xdr:pic>
      <xdr:nvPicPr>
        <xdr:cNvPr id="3469" name="Picture 160" descr="eurocode">
          <a:extLst>
            <a:ext uri="{FF2B5EF4-FFF2-40B4-BE49-F238E27FC236}">
              <a16:creationId xmlns:a16="http://schemas.microsoft.com/office/drawing/2014/main" id="{00000000-0008-0000-0100-00008D0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23850" y="1295400"/>
          <a:ext cx="876300"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590550</xdr:colOff>
      <xdr:row>8</xdr:row>
      <xdr:rowOff>38100</xdr:rowOff>
    </xdr:from>
    <xdr:to>
      <xdr:col>11</xdr:col>
      <xdr:colOff>628650</xdr:colOff>
      <xdr:row>16</xdr:row>
      <xdr:rowOff>219075</xdr:rowOff>
    </xdr:to>
    <xdr:pic>
      <xdr:nvPicPr>
        <xdr:cNvPr id="3470" name="Picture 279" descr="Punchy~edge">
          <a:extLst>
            <a:ext uri="{FF2B5EF4-FFF2-40B4-BE49-F238E27FC236}">
              <a16:creationId xmlns:a16="http://schemas.microsoft.com/office/drawing/2014/main" id="{00000000-0008-0000-0100-00008E0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400675" y="2152650"/>
          <a:ext cx="3067050" cy="2028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624728</xdr:colOff>
      <xdr:row>1</xdr:row>
      <xdr:rowOff>47625</xdr:rowOff>
    </xdr:from>
    <xdr:to>
      <xdr:col>7</xdr:col>
      <xdr:colOff>639073</xdr:colOff>
      <xdr:row>3</xdr:row>
      <xdr:rowOff>28575</xdr:rowOff>
    </xdr:to>
    <xdr:pic>
      <xdr:nvPicPr>
        <xdr:cNvPr id="3471" name="Picture 334">
          <a:extLst>
            <a:ext uri="{FF2B5EF4-FFF2-40B4-BE49-F238E27FC236}">
              <a16:creationId xmlns:a16="http://schemas.microsoft.com/office/drawing/2014/main" id="{00000000-0008-0000-0100-00008F0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03787" y="305360"/>
          <a:ext cx="2053815" cy="61968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142875</xdr:colOff>
          <xdr:row>9</xdr:row>
          <xdr:rowOff>28575</xdr:rowOff>
        </xdr:from>
        <xdr:to>
          <xdr:col>12</xdr:col>
          <xdr:colOff>2105025</xdr:colOff>
          <xdr:row>10</xdr:row>
          <xdr:rowOff>66675</xdr:rowOff>
        </xdr:to>
        <xdr:sp macro="" textlink="">
          <xdr:nvSpPr>
            <xdr:cNvPr id="3078" name="ComboBox1"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219075</xdr:colOff>
      <xdr:row>26</xdr:row>
      <xdr:rowOff>76200</xdr:rowOff>
    </xdr:from>
    <xdr:to>
      <xdr:col>11</xdr:col>
      <xdr:colOff>657225</xdr:colOff>
      <xdr:row>37</xdr:row>
      <xdr:rowOff>161925</xdr:rowOff>
    </xdr:to>
    <xdr:graphicFrame macro="">
      <xdr:nvGraphicFramePr>
        <xdr:cNvPr id="4392" name="Chart 2">
          <a:extLst>
            <a:ext uri="{FF2B5EF4-FFF2-40B4-BE49-F238E27FC236}">
              <a16:creationId xmlns:a16="http://schemas.microsoft.com/office/drawing/2014/main" id="{00000000-0008-0000-0200-0000281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723900</xdr:colOff>
      <xdr:row>8</xdr:row>
      <xdr:rowOff>28575</xdr:rowOff>
    </xdr:from>
    <xdr:to>
      <xdr:col>11</xdr:col>
      <xdr:colOff>685800</xdr:colOff>
      <xdr:row>16</xdr:row>
      <xdr:rowOff>215900</xdr:rowOff>
    </xdr:to>
    <xdr:pic>
      <xdr:nvPicPr>
        <xdr:cNvPr id="4393" name="Picture 145" descr="Punchy~corner">
          <a:extLst>
            <a:ext uri="{FF2B5EF4-FFF2-40B4-BE49-F238E27FC236}">
              <a16:creationId xmlns:a16="http://schemas.microsoft.com/office/drawing/2014/main" id="{00000000-0008-0000-0200-00002911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581650" y="2057400"/>
          <a:ext cx="2990850" cy="1990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12</xdr:col>
      <xdr:colOff>180975</xdr:colOff>
      <xdr:row>1</xdr:row>
      <xdr:rowOff>0</xdr:rowOff>
    </xdr:from>
    <xdr:to>
      <xdr:col>13</xdr:col>
      <xdr:colOff>1009556</xdr:colOff>
      <xdr:row>4</xdr:row>
      <xdr:rowOff>152400</xdr:rowOff>
    </xdr:to>
    <xdr:sp macro="" textlink="">
      <xdr:nvSpPr>
        <xdr:cNvPr id="4245" name="Text Box 149">
          <a:extLst>
            <a:ext uri="{FF2B5EF4-FFF2-40B4-BE49-F238E27FC236}">
              <a16:creationId xmlns:a16="http://schemas.microsoft.com/office/drawing/2014/main" id="{00000000-0008-0000-0200-000095100000}"/>
            </a:ext>
          </a:extLst>
        </xdr:cNvPr>
        <xdr:cNvSpPr txBox="1">
          <a:spLocks noChangeArrowheads="1"/>
        </xdr:cNvSpPr>
      </xdr:nvSpPr>
      <xdr:spPr bwMode="auto">
        <a:xfrm>
          <a:off x="7981950" y="257175"/>
          <a:ext cx="2686050" cy="962025"/>
        </a:xfrm>
        <a:prstGeom prst="rect">
          <a:avLst/>
        </a:prstGeom>
        <a:gradFill rotWithShape="1">
          <a:gsLst>
            <a:gs pos="0">
              <a:srgbClr val="FFFFFF"/>
            </a:gs>
            <a:gs pos="100000">
              <a:srgbClr val="E5E9F0"/>
            </a:gs>
          </a:gsLst>
          <a:lin ang="5400000" scaled="1"/>
        </a:gradFill>
        <a:ln w="19050">
          <a:solidFill>
            <a:srgbClr val="000000"/>
          </a:solidFill>
          <a:miter lim="800000"/>
          <a:headEnd/>
          <a:tailEnd/>
        </a:ln>
      </xdr:spPr>
      <xdr:txBody>
        <a:bodyPr vertOverflow="clip" wrap="square" lIns="36576" tIns="36576" rIns="0" bIns="0" anchor="t" upright="1"/>
        <a:lstStyle/>
        <a:p>
          <a:pPr algn="l" rtl="0">
            <a:defRPr sz="1000"/>
          </a:pPr>
          <a:r>
            <a:rPr lang="en-GB" sz="1200" b="1" i="0" u="none" strike="noStrike" baseline="0">
              <a:solidFill>
                <a:srgbClr val="000000"/>
              </a:solidFill>
              <a:latin typeface="Trebuchet MS"/>
            </a:rPr>
            <a:t>OPERATING INSTRUCTIONS</a:t>
          </a:r>
          <a:endParaRPr lang="en-GB" sz="1200" b="0" i="0" u="none" strike="noStrike" baseline="0">
            <a:solidFill>
              <a:srgbClr val="000000"/>
            </a:solidFill>
            <a:latin typeface="Trebuchet MS"/>
          </a:endParaRPr>
        </a:p>
        <a:p>
          <a:pPr algn="l" rtl="0">
            <a:defRPr sz="1000"/>
          </a:pPr>
          <a:endParaRPr lang="en-GB" sz="1200" b="0" i="0" u="none" strike="noStrike" baseline="0">
            <a:solidFill>
              <a:srgbClr val="000000"/>
            </a:solidFill>
            <a:latin typeface="Trebuchet MS"/>
          </a:endParaRPr>
        </a:p>
        <a:p>
          <a:pPr algn="l" rtl="0">
            <a:defRPr sz="1000"/>
          </a:pPr>
          <a:r>
            <a:rPr lang="en-GB" sz="1200" b="0" i="0" u="none" strike="noStrike" baseline="0">
              <a:solidFill>
                <a:srgbClr val="000000"/>
              </a:solidFill>
              <a:latin typeface="Trebuchet MS"/>
            </a:rPr>
            <a:t>ENTER DATA IN</a:t>
          </a:r>
          <a:r>
            <a:rPr lang="en-GB" sz="1200" b="1" i="0" u="none" strike="noStrike" baseline="0">
              <a:solidFill>
                <a:srgbClr val="0000FF"/>
              </a:solidFill>
              <a:latin typeface="Trebuchet MS"/>
            </a:rPr>
            <a:t> BLUE CELLS</a:t>
          </a:r>
          <a:r>
            <a:rPr lang="en-GB" sz="1200" b="0" i="0" u="none" strike="noStrike" baseline="0">
              <a:solidFill>
                <a:srgbClr val="000000"/>
              </a:solidFill>
              <a:latin typeface="Trebuchet MS"/>
            </a:rPr>
            <a:t> ONLY.</a:t>
          </a:r>
        </a:p>
        <a:p>
          <a:pPr algn="l" rtl="0">
            <a:defRPr sz="1000"/>
          </a:pPr>
          <a:r>
            <a:rPr lang="en-GB" sz="1200" b="1" i="0" u="none" strike="noStrike" baseline="0">
              <a:solidFill>
                <a:srgbClr val="FF0000"/>
              </a:solidFill>
              <a:latin typeface="Trebuchet MS"/>
            </a:rPr>
            <a:t>RED MESSAGES</a:t>
          </a:r>
          <a:r>
            <a:rPr lang="en-GB" sz="1200" b="0" i="0" u="none" strike="noStrike" baseline="0">
              <a:solidFill>
                <a:srgbClr val="000000"/>
              </a:solidFill>
              <a:latin typeface="Trebuchet MS"/>
            </a:rPr>
            <a:t> INDICATE ENTRY ERRORS.</a:t>
          </a:r>
        </a:p>
      </xdr:txBody>
    </xdr:sp>
    <xdr:clientData/>
  </xdr:twoCellAnchor>
  <xdr:twoCellAnchor editAs="oneCell">
    <xdr:from>
      <xdr:col>1</xdr:col>
      <xdr:colOff>85725</xdr:colOff>
      <xdr:row>4</xdr:row>
      <xdr:rowOff>142875</xdr:rowOff>
    </xdr:from>
    <xdr:to>
      <xdr:col>1</xdr:col>
      <xdr:colOff>962025</xdr:colOff>
      <xdr:row>5</xdr:row>
      <xdr:rowOff>180975</xdr:rowOff>
    </xdr:to>
    <xdr:pic>
      <xdr:nvPicPr>
        <xdr:cNvPr id="4395" name="Picture 158" descr="eurocode">
          <a:extLst>
            <a:ext uri="{FF2B5EF4-FFF2-40B4-BE49-F238E27FC236}">
              <a16:creationId xmlns:a16="http://schemas.microsoft.com/office/drawing/2014/main" id="{00000000-0008-0000-0200-00002B11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2900" y="1209675"/>
          <a:ext cx="876300"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152400</xdr:colOff>
          <xdr:row>9</xdr:row>
          <xdr:rowOff>28575</xdr:rowOff>
        </xdr:from>
        <xdr:to>
          <xdr:col>12</xdr:col>
          <xdr:colOff>2114550</xdr:colOff>
          <xdr:row>10</xdr:row>
          <xdr:rowOff>66675</xdr:rowOff>
        </xdr:to>
        <xdr:sp macro="" textlink="">
          <xdr:nvSpPr>
            <xdr:cNvPr id="4102" name="ComboBox1"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323850</xdr:colOff>
          <xdr:row>15</xdr:row>
          <xdr:rowOff>142875</xdr:rowOff>
        </xdr:from>
        <xdr:to>
          <xdr:col>12</xdr:col>
          <xdr:colOff>1533525</xdr:colOff>
          <xdr:row>17</xdr:row>
          <xdr:rowOff>95250</xdr:rowOff>
        </xdr:to>
        <xdr:sp macro="" textlink="">
          <xdr:nvSpPr>
            <xdr:cNvPr id="4111" name="Button 15" hidden="1">
              <a:extLst>
                <a:ext uri="{63B3BB69-23CF-44E3-9099-C40C66FF867C}">
                  <a14:compatExt spid="_x0000_s4111"/>
                </a:ext>
                <a:ext uri="{FF2B5EF4-FFF2-40B4-BE49-F238E27FC236}">
                  <a16:creationId xmlns:a16="http://schemas.microsoft.com/office/drawing/2014/main" id="{00000000-0008-0000-0200-00000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1" i="0" u="none" strike="noStrike" baseline="0">
                  <a:solidFill>
                    <a:srgbClr val="BC0000"/>
                  </a:solidFill>
                  <a:latin typeface="Trebuchet MS"/>
                </a:rPr>
                <a:t>PRINT SHEET</a:t>
              </a:r>
            </a:p>
          </xdr:txBody>
        </xdr:sp>
        <xdr:clientData fPrintsWithSheet="0"/>
      </xdr:twoCellAnchor>
    </mc:Choice>
    <mc:Fallback/>
  </mc:AlternateContent>
  <xdr:twoCellAnchor editAs="oneCell">
    <xdr:from>
      <xdr:col>4</xdr:col>
      <xdr:colOff>676275</xdr:colOff>
      <xdr:row>1</xdr:row>
      <xdr:rowOff>47625</xdr:rowOff>
    </xdr:from>
    <xdr:to>
      <xdr:col>7</xdr:col>
      <xdr:colOff>643890</xdr:colOff>
      <xdr:row>3</xdr:row>
      <xdr:rowOff>114300</xdr:rowOff>
    </xdr:to>
    <xdr:pic>
      <xdr:nvPicPr>
        <xdr:cNvPr id="4396" name="Picture 334">
          <a:extLst>
            <a:ext uri="{FF2B5EF4-FFF2-40B4-BE49-F238E27FC236}">
              <a16:creationId xmlns:a16="http://schemas.microsoft.com/office/drawing/2014/main" id="{00000000-0008-0000-0200-00002C11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24250" y="304800"/>
          <a:ext cx="2000250" cy="62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8</xdr:col>
      <xdr:colOff>266700</xdr:colOff>
      <xdr:row>26</xdr:row>
      <xdr:rowOff>76200</xdr:rowOff>
    </xdr:from>
    <xdr:to>
      <xdr:col>11</xdr:col>
      <xdr:colOff>676275</xdr:colOff>
      <xdr:row>37</xdr:row>
      <xdr:rowOff>161925</xdr:rowOff>
    </xdr:to>
    <xdr:graphicFrame macro="">
      <xdr:nvGraphicFramePr>
        <xdr:cNvPr id="5404" name="Chart 2">
          <a:extLst>
            <a:ext uri="{FF2B5EF4-FFF2-40B4-BE49-F238E27FC236}">
              <a16:creationId xmlns:a16="http://schemas.microsoft.com/office/drawing/2014/main" id="{00000000-0008-0000-0300-00001C15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1</xdr:row>
      <xdr:rowOff>0</xdr:rowOff>
    </xdr:from>
    <xdr:to>
      <xdr:col>12</xdr:col>
      <xdr:colOff>3219450</xdr:colOff>
      <xdr:row>4</xdr:row>
      <xdr:rowOff>152400</xdr:rowOff>
    </xdr:to>
    <xdr:sp macro="" textlink="">
      <xdr:nvSpPr>
        <xdr:cNvPr id="5184" name="Text Box 64">
          <a:extLst>
            <a:ext uri="{FF2B5EF4-FFF2-40B4-BE49-F238E27FC236}">
              <a16:creationId xmlns:a16="http://schemas.microsoft.com/office/drawing/2014/main" id="{00000000-0008-0000-0300-000040140000}"/>
            </a:ext>
          </a:extLst>
        </xdr:cNvPr>
        <xdr:cNvSpPr txBox="1">
          <a:spLocks noChangeArrowheads="1"/>
        </xdr:cNvSpPr>
      </xdr:nvSpPr>
      <xdr:spPr bwMode="auto">
        <a:xfrm>
          <a:off x="7981950" y="257175"/>
          <a:ext cx="2686050" cy="962025"/>
        </a:xfrm>
        <a:prstGeom prst="rect">
          <a:avLst/>
        </a:prstGeom>
        <a:gradFill rotWithShape="1">
          <a:gsLst>
            <a:gs pos="0">
              <a:srgbClr val="FFFFFF"/>
            </a:gs>
            <a:gs pos="100000">
              <a:srgbClr val="E5E9F0"/>
            </a:gs>
          </a:gsLst>
          <a:lin ang="5400000" scaled="1"/>
        </a:gradFill>
        <a:ln w="19050">
          <a:solidFill>
            <a:srgbClr val="000000"/>
          </a:solidFill>
          <a:miter lim="800000"/>
          <a:headEnd/>
          <a:tailEnd/>
        </a:ln>
      </xdr:spPr>
      <xdr:txBody>
        <a:bodyPr vertOverflow="clip" wrap="square" lIns="36576" tIns="36576" rIns="0" bIns="0" anchor="t" upright="1"/>
        <a:lstStyle/>
        <a:p>
          <a:pPr algn="l" rtl="0">
            <a:defRPr sz="1000"/>
          </a:pPr>
          <a:r>
            <a:rPr lang="en-GB" sz="1200" b="1" i="0" u="none" strike="noStrike" baseline="0">
              <a:solidFill>
                <a:srgbClr val="000000"/>
              </a:solidFill>
              <a:latin typeface="Trebuchet MS"/>
            </a:rPr>
            <a:t>OPERATING INSTRUCTIONS</a:t>
          </a:r>
          <a:endParaRPr lang="en-GB" sz="1200" b="0" i="0" u="none" strike="noStrike" baseline="0">
            <a:solidFill>
              <a:srgbClr val="000000"/>
            </a:solidFill>
            <a:latin typeface="Trebuchet MS"/>
          </a:endParaRPr>
        </a:p>
        <a:p>
          <a:pPr algn="l" rtl="0">
            <a:defRPr sz="1000"/>
          </a:pPr>
          <a:endParaRPr lang="en-GB" sz="1200" b="0" i="0" u="none" strike="noStrike" baseline="0">
            <a:solidFill>
              <a:srgbClr val="000000"/>
            </a:solidFill>
            <a:latin typeface="Trebuchet MS"/>
          </a:endParaRPr>
        </a:p>
        <a:p>
          <a:pPr algn="l" rtl="0">
            <a:defRPr sz="1000"/>
          </a:pPr>
          <a:r>
            <a:rPr lang="en-GB" sz="1200" b="0" i="0" u="none" strike="noStrike" baseline="0">
              <a:solidFill>
                <a:srgbClr val="000000"/>
              </a:solidFill>
              <a:latin typeface="Trebuchet MS"/>
            </a:rPr>
            <a:t>ENTER DATA IN</a:t>
          </a:r>
          <a:r>
            <a:rPr lang="en-GB" sz="1200" b="1" i="0" u="none" strike="noStrike" baseline="0">
              <a:solidFill>
                <a:srgbClr val="0000FF"/>
              </a:solidFill>
              <a:latin typeface="Trebuchet MS"/>
            </a:rPr>
            <a:t> BLUE CELLS</a:t>
          </a:r>
          <a:r>
            <a:rPr lang="en-GB" sz="1200" b="0" i="0" u="none" strike="noStrike" baseline="0">
              <a:solidFill>
                <a:srgbClr val="000000"/>
              </a:solidFill>
              <a:latin typeface="Trebuchet MS"/>
            </a:rPr>
            <a:t> ONLY.</a:t>
          </a:r>
        </a:p>
        <a:p>
          <a:pPr algn="l" rtl="0">
            <a:defRPr sz="1000"/>
          </a:pPr>
          <a:r>
            <a:rPr lang="en-GB" sz="1200" b="1" i="0" u="none" strike="noStrike" baseline="0">
              <a:solidFill>
                <a:srgbClr val="FF0000"/>
              </a:solidFill>
              <a:latin typeface="Trebuchet MS"/>
            </a:rPr>
            <a:t>RED MESSAGES</a:t>
          </a:r>
          <a:r>
            <a:rPr lang="en-GB" sz="1200" b="0" i="0" u="none" strike="noStrike" baseline="0">
              <a:solidFill>
                <a:srgbClr val="000000"/>
              </a:solidFill>
              <a:latin typeface="Trebuchet MS"/>
            </a:rPr>
            <a:t> INDICATE ENTRY ERRORS.</a:t>
          </a:r>
        </a:p>
      </xdr:txBody>
    </xdr:sp>
    <xdr:clientData/>
  </xdr:twoCellAnchor>
  <xdr:twoCellAnchor editAs="oneCell">
    <xdr:from>
      <xdr:col>1</xdr:col>
      <xdr:colOff>57150</xdr:colOff>
      <xdr:row>4</xdr:row>
      <xdr:rowOff>180975</xdr:rowOff>
    </xdr:from>
    <xdr:to>
      <xdr:col>1</xdr:col>
      <xdr:colOff>933450</xdr:colOff>
      <xdr:row>5</xdr:row>
      <xdr:rowOff>219075</xdr:rowOff>
    </xdr:to>
    <xdr:pic>
      <xdr:nvPicPr>
        <xdr:cNvPr id="5406" name="Picture 66" descr="eurocode">
          <a:extLst>
            <a:ext uri="{FF2B5EF4-FFF2-40B4-BE49-F238E27FC236}">
              <a16:creationId xmlns:a16="http://schemas.microsoft.com/office/drawing/2014/main" id="{00000000-0008-0000-0300-00001E1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09575" y="1247775"/>
          <a:ext cx="876300"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676275</xdr:colOff>
      <xdr:row>8</xdr:row>
      <xdr:rowOff>9525</xdr:rowOff>
    </xdr:from>
    <xdr:to>
      <xdr:col>11</xdr:col>
      <xdr:colOff>685800</xdr:colOff>
      <xdr:row>16</xdr:row>
      <xdr:rowOff>220395</xdr:rowOff>
    </xdr:to>
    <xdr:pic>
      <xdr:nvPicPr>
        <xdr:cNvPr id="5407" name="Picture 137" descr="Punchy~reent">
          <a:extLst>
            <a:ext uri="{FF2B5EF4-FFF2-40B4-BE49-F238E27FC236}">
              <a16:creationId xmlns:a16="http://schemas.microsoft.com/office/drawing/2014/main" id="{00000000-0008-0000-0300-00001F15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486400" y="2038350"/>
          <a:ext cx="3038475" cy="2028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142875</xdr:colOff>
          <xdr:row>9</xdr:row>
          <xdr:rowOff>28575</xdr:rowOff>
        </xdr:from>
        <xdr:to>
          <xdr:col>12</xdr:col>
          <xdr:colOff>2105025</xdr:colOff>
          <xdr:row>10</xdr:row>
          <xdr:rowOff>66675</xdr:rowOff>
        </xdr:to>
        <xdr:sp macro="" textlink="">
          <xdr:nvSpPr>
            <xdr:cNvPr id="5126" name="ComboBox1"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381000</xdr:colOff>
          <xdr:row>15</xdr:row>
          <xdr:rowOff>209550</xdr:rowOff>
        </xdr:from>
        <xdr:to>
          <xdr:col>12</xdr:col>
          <xdr:colOff>1590675</xdr:colOff>
          <xdr:row>17</xdr:row>
          <xdr:rowOff>123825</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300-00001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1" i="0" u="none" strike="noStrike" baseline="0">
                  <a:solidFill>
                    <a:srgbClr val="BC0000"/>
                  </a:solidFill>
                  <a:latin typeface="Trebuchet MS"/>
                </a:rPr>
                <a:t>PRINT SHEET</a:t>
              </a:r>
            </a:p>
          </xdr:txBody>
        </xdr:sp>
        <xdr:clientData fPrintsWithSheet="0"/>
      </xdr:twoCellAnchor>
    </mc:Choice>
    <mc:Fallback/>
  </mc:AlternateContent>
  <xdr:twoCellAnchor editAs="oneCell">
    <xdr:from>
      <xdr:col>4</xdr:col>
      <xdr:colOff>685800</xdr:colOff>
      <xdr:row>1</xdr:row>
      <xdr:rowOff>66675</xdr:rowOff>
    </xdr:from>
    <xdr:to>
      <xdr:col>8</xdr:col>
      <xdr:colOff>4388</xdr:colOff>
      <xdr:row>3</xdr:row>
      <xdr:rowOff>133350</xdr:rowOff>
    </xdr:to>
    <xdr:pic>
      <xdr:nvPicPr>
        <xdr:cNvPr id="5408" name="Picture 334">
          <a:extLst>
            <a:ext uri="{FF2B5EF4-FFF2-40B4-BE49-F238E27FC236}">
              <a16:creationId xmlns:a16="http://schemas.microsoft.com/office/drawing/2014/main" id="{00000000-0008-0000-0300-00002015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86150" y="323850"/>
          <a:ext cx="2000250" cy="62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142875</xdr:colOff>
      <xdr:row>1</xdr:row>
      <xdr:rowOff>38100</xdr:rowOff>
    </xdr:from>
    <xdr:to>
      <xdr:col>7</xdr:col>
      <xdr:colOff>238125</xdr:colOff>
      <xdr:row>27</xdr:row>
      <xdr:rowOff>57150</xdr:rowOff>
    </xdr:to>
    <xdr:pic>
      <xdr:nvPicPr>
        <xdr:cNvPr id="11320" name="Picture 2" descr="8spurs">
          <a:extLst>
            <a:ext uri="{FF2B5EF4-FFF2-40B4-BE49-F238E27FC236}">
              <a16:creationId xmlns:a16="http://schemas.microsoft.com/office/drawing/2014/main" id="{00000000-0008-0000-0400-0000382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2875" y="476250"/>
          <a:ext cx="5962650" cy="5467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15</xdr:col>
      <xdr:colOff>400050</xdr:colOff>
      <xdr:row>3</xdr:row>
      <xdr:rowOff>114300</xdr:rowOff>
    </xdr:from>
    <xdr:to>
      <xdr:col>20</xdr:col>
      <xdr:colOff>695325</xdr:colOff>
      <xdr:row>33</xdr:row>
      <xdr:rowOff>190500</xdr:rowOff>
    </xdr:to>
    <xdr:pic>
      <xdr:nvPicPr>
        <xdr:cNvPr id="11321" name="Picture 6" descr="622B perimeter">
          <a:extLst>
            <a:ext uri="{FF2B5EF4-FFF2-40B4-BE49-F238E27FC236}">
              <a16:creationId xmlns:a16="http://schemas.microsoft.com/office/drawing/2014/main" id="{00000000-0008-0000-0400-0000392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820650" y="971550"/>
          <a:ext cx="4486275" cy="6391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371475</xdr:colOff>
      <xdr:row>0</xdr:row>
      <xdr:rowOff>266700</xdr:rowOff>
    </xdr:from>
    <xdr:to>
      <xdr:col>15</xdr:col>
      <xdr:colOff>352425</xdr:colOff>
      <xdr:row>27</xdr:row>
      <xdr:rowOff>142875</xdr:rowOff>
    </xdr:to>
    <xdr:pic>
      <xdr:nvPicPr>
        <xdr:cNvPr id="11322" name="Picture 7" descr="12spurs">
          <a:extLst>
            <a:ext uri="{FF2B5EF4-FFF2-40B4-BE49-F238E27FC236}">
              <a16:creationId xmlns:a16="http://schemas.microsoft.com/office/drawing/2014/main" id="{00000000-0008-0000-0400-00003A2C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238875" y="266700"/>
          <a:ext cx="6534150" cy="5762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xdr:col>
          <xdr:colOff>714375</xdr:colOff>
          <xdr:row>29</xdr:row>
          <xdr:rowOff>76200</xdr:rowOff>
        </xdr:from>
        <xdr:to>
          <xdr:col>4</xdr:col>
          <xdr:colOff>790575</xdr:colOff>
          <xdr:row>31</xdr:row>
          <xdr:rowOff>123825</xdr:rowOff>
        </xdr:to>
        <xdr:sp macro="" textlink="">
          <xdr:nvSpPr>
            <xdr:cNvPr id="11268" name="Object 4" hidden="1">
              <a:extLst>
                <a:ext uri="{63B3BB69-23CF-44E3-9099-C40C66FF867C}">
                  <a14:compatExt spid="_x0000_s11268"/>
                </a:ext>
                <a:ext uri="{FF2B5EF4-FFF2-40B4-BE49-F238E27FC236}">
                  <a16:creationId xmlns:a16="http://schemas.microsoft.com/office/drawing/2014/main" id="{00000000-0008-0000-0400-0000042C0000}"/>
                </a:ext>
              </a:extLst>
            </xdr:cNvPr>
            <xdr:cNvSpPr/>
          </xdr:nvSpPr>
          <xdr:spPr bwMode="auto">
            <a:xfrm>
              <a:off x="0" y="0"/>
              <a:ext cx="0" cy="0"/>
            </a:xfrm>
            <a:prstGeom prst="rect">
              <a:avLst/>
            </a:prstGeom>
            <a:solidFill>
              <a:srgbClr val="FFFFDC"/>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29</xdr:row>
          <xdr:rowOff>66675</xdr:rowOff>
        </xdr:from>
        <xdr:to>
          <xdr:col>13</xdr:col>
          <xdr:colOff>123825</xdr:colOff>
          <xdr:row>31</xdr:row>
          <xdr:rowOff>123825</xdr:rowOff>
        </xdr:to>
        <xdr:sp macro="" textlink="">
          <xdr:nvSpPr>
            <xdr:cNvPr id="11269" name="Object 5" hidden="1">
              <a:extLst>
                <a:ext uri="{63B3BB69-23CF-44E3-9099-C40C66FF867C}">
                  <a14:compatExt spid="_x0000_s11269"/>
                </a:ext>
                <a:ext uri="{FF2B5EF4-FFF2-40B4-BE49-F238E27FC236}">
                  <a16:creationId xmlns:a16="http://schemas.microsoft.com/office/drawing/2014/main" id="{00000000-0008-0000-0400-0000052C0000}"/>
                </a:ext>
              </a:extLst>
            </xdr:cNvPr>
            <xdr:cNvSpPr/>
          </xdr:nvSpPr>
          <xdr:spPr bwMode="auto">
            <a:xfrm>
              <a:off x="0" y="0"/>
              <a:ext cx="0" cy="0"/>
            </a:xfrm>
            <a:prstGeom prst="rect">
              <a:avLst/>
            </a:prstGeom>
            <a:solidFill>
              <a:srgbClr val="FFFFDC"/>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10</xdr:col>
      <xdr:colOff>234950</xdr:colOff>
      <xdr:row>0</xdr:row>
      <xdr:rowOff>107950</xdr:rowOff>
    </xdr:from>
    <xdr:to>
      <xdr:col>13</xdr:col>
      <xdr:colOff>53975</xdr:colOff>
      <xdr:row>3</xdr:row>
      <xdr:rowOff>117475</xdr:rowOff>
    </xdr:to>
    <xdr:pic>
      <xdr:nvPicPr>
        <xdr:cNvPr id="10349" name="Picture 71">
          <a:extLst>
            <a:ext uri="{FF2B5EF4-FFF2-40B4-BE49-F238E27FC236}">
              <a16:creationId xmlns:a16="http://schemas.microsoft.com/office/drawing/2014/main" id="{00000000-0008-0000-0500-00006D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854950" y="107950"/>
          <a:ext cx="2333625" cy="758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695325</xdr:colOff>
      <xdr:row>55</xdr:row>
      <xdr:rowOff>19050</xdr:rowOff>
    </xdr:from>
    <xdr:to>
      <xdr:col>17</xdr:col>
      <xdr:colOff>819150</xdr:colOff>
      <xdr:row>58</xdr:row>
      <xdr:rowOff>142875</xdr:rowOff>
    </xdr:to>
    <xdr:pic>
      <xdr:nvPicPr>
        <xdr:cNvPr id="10350" name="Picture 72">
          <a:extLst>
            <a:ext uri="{FF2B5EF4-FFF2-40B4-BE49-F238E27FC236}">
              <a16:creationId xmlns:a16="http://schemas.microsoft.com/office/drawing/2014/main" id="{00000000-0008-0000-0500-00006E2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011150" y="11658600"/>
          <a:ext cx="232410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695325</xdr:colOff>
      <xdr:row>100</xdr:row>
      <xdr:rowOff>19050</xdr:rowOff>
    </xdr:from>
    <xdr:to>
      <xdr:col>17</xdr:col>
      <xdr:colOff>819150</xdr:colOff>
      <xdr:row>103</xdr:row>
      <xdr:rowOff>142875</xdr:rowOff>
    </xdr:to>
    <xdr:pic>
      <xdr:nvPicPr>
        <xdr:cNvPr id="10351" name="Picture 73">
          <a:extLst>
            <a:ext uri="{FF2B5EF4-FFF2-40B4-BE49-F238E27FC236}">
              <a16:creationId xmlns:a16="http://schemas.microsoft.com/office/drawing/2014/main" id="{00000000-0008-0000-0500-00006F2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011150" y="21116925"/>
          <a:ext cx="232410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695325</xdr:colOff>
      <xdr:row>133</xdr:row>
      <xdr:rowOff>19050</xdr:rowOff>
    </xdr:from>
    <xdr:to>
      <xdr:col>17</xdr:col>
      <xdr:colOff>819150</xdr:colOff>
      <xdr:row>136</xdr:row>
      <xdr:rowOff>142875</xdr:rowOff>
    </xdr:to>
    <xdr:pic>
      <xdr:nvPicPr>
        <xdr:cNvPr id="10352" name="Picture 74">
          <a:extLst>
            <a:ext uri="{FF2B5EF4-FFF2-40B4-BE49-F238E27FC236}">
              <a16:creationId xmlns:a16="http://schemas.microsoft.com/office/drawing/2014/main" id="{00000000-0008-0000-0500-0000702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011150" y="28060650"/>
          <a:ext cx="232410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1009650</xdr:colOff>
      <xdr:row>1</xdr:row>
      <xdr:rowOff>19050</xdr:rowOff>
    </xdr:from>
    <xdr:to>
      <xdr:col>6</xdr:col>
      <xdr:colOff>809625</xdr:colOff>
      <xdr:row>3</xdr:row>
      <xdr:rowOff>133350</xdr:rowOff>
    </xdr:to>
    <xdr:pic>
      <xdr:nvPicPr>
        <xdr:cNvPr id="12311" name="Picture 14">
          <a:extLst>
            <a:ext uri="{FF2B5EF4-FFF2-40B4-BE49-F238E27FC236}">
              <a16:creationId xmlns:a16="http://schemas.microsoft.com/office/drawing/2014/main" id="{00000000-0008-0000-0600-0000173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05275" y="266700"/>
          <a:ext cx="2314575"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5" Type="http://schemas.openxmlformats.org/officeDocument/2006/relationships/control" Target="../activeX/activeX1.xml"/><Relationship Id="rId10" Type="http://schemas.openxmlformats.org/officeDocument/2006/relationships/image" Target="../media/image4.emf"/><Relationship Id="rId4" Type="http://schemas.openxmlformats.org/officeDocument/2006/relationships/image" Target="../media/image1.png"/><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image" Target="../media/image8.emf"/><Relationship Id="rId5" Type="http://schemas.openxmlformats.org/officeDocument/2006/relationships/control" Target="../activeX/activeX4.xml"/><Relationship Id="rId4" Type="http://schemas.openxmlformats.org/officeDocument/2006/relationships/image" Target="../media/image1.png"/></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image" Target="../media/image10.emf"/><Relationship Id="rId5" Type="http://schemas.openxmlformats.org/officeDocument/2006/relationships/control" Target="../activeX/activeX5.xml"/><Relationship Id="rId4" Type="http://schemas.openxmlformats.org/officeDocument/2006/relationships/image" Target="../media/image1.png"/></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2.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image" Target="../media/image12.emf"/><Relationship Id="rId5" Type="http://schemas.openxmlformats.org/officeDocument/2006/relationships/control" Target="../activeX/activeX6.xml"/><Relationship Id="rId4" Type="http://schemas.openxmlformats.org/officeDocument/2006/relationships/image" Target="../media/image1.png"/></Relationships>
</file>

<file path=xl/worksheets/_rels/sheet5.xml.rels><?xml version="1.0" encoding="UTF-8" standalone="yes"?>
<Relationships xmlns="http://schemas.openxmlformats.org/package/2006/relationships"><Relationship Id="rId8" Type="http://schemas.openxmlformats.org/officeDocument/2006/relationships/image" Target="../media/image15.emf"/><Relationship Id="rId3" Type="http://schemas.openxmlformats.org/officeDocument/2006/relationships/vmlDrawing" Target="../drawings/vmlDrawing5.vml"/><Relationship Id="rId7" Type="http://schemas.openxmlformats.org/officeDocument/2006/relationships/oleObject" Target="../embeddings/oleObject2.bin"/><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image" Target="../media/image14.emf"/><Relationship Id="rId5" Type="http://schemas.openxmlformats.org/officeDocument/2006/relationships/oleObject" Target="../embeddings/oleObject1.bin"/><Relationship Id="rId4" Type="http://schemas.openxmlformats.org/officeDocument/2006/relationships/image" Target="../media/image1.png"/></Relationships>
</file>

<file path=xl/worksheets/_rels/sheet6.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indexed="16"/>
    <pageSetUpPr fitToPage="1"/>
  </sheetPr>
  <dimension ref="A1:AM106"/>
  <sheetViews>
    <sheetView showGridLines="0" tabSelected="1" zoomScale="89" zoomScaleNormal="89" workbookViewId="0">
      <selection activeCell="F14" sqref="F14"/>
    </sheetView>
  </sheetViews>
  <sheetFormatPr defaultRowHeight="15"/>
  <cols>
    <col min="1" max="1" width="3.77734375" customWidth="1"/>
    <col min="2" max="2" width="11.77734375" customWidth="1"/>
    <col min="3" max="4" width="6.77734375" customWidth="1"/>
    <col min="5" max="5" width="7.77734375" customWidth="1"/>
    <col min="6" max="7" width="6.77734375" customWidth="1"/>
    <col min="8" max="8" width="7.77734375" customWidth="1"/>
    <col min="9" max="9" width="8.77734375" customWidth="1"/>
    <col min="10" max="10" width="6.77734375" customWidth="1"/>
    <col min="11" max="12" width="8.77734375" customWidth="1"/>
    <col min="13" max="13" width="38.109375" customWidth="1"/>
    <col min="14" max="14" width="11.33203125" customWidth="1"/>
    <col min="15" max="15" width="7.77734375" customWidth="1"/>
    <col min="16" max="16" width="9.88671875" customWidth="1"/>
    <col min="17" max="17" width="11.77734375" customWidth="1"/>
    <col min="18" max="18" width="7.77734375" customWidth="1"/>
    <col min="19" max="19" width="9.88671875" bestFit="1" customWidth="1"/>
    <col min="20" max="20" width="11.77734375" bestFit="1" customWidth="1"/>
    <col min="21" max="21" width="7.77734375" customWidth="1"/>
    <col min="22" max="22" width="7.21875" customWidth="1"/>
    <col min="23" max="23" width="7.21875" bestFit="1" customWidth="1"/>
    <col min="24" max="25" width="6.77734375" customWidth="1"/>
    <col min="26" max="26" width="7.33203125" customWidth="1"/>
    <col min="27" max="34" width="6.77734375" customWidth="1"/>
  </cols>
  <sheetData>
    <row r="1" spans="1:39" ht="20.25" thickBot="1">
      <c r="A1" s="225" t="s">
        <v>437</v>
      </c>
      <c r="B1" s="226"/>
      <c r="C1" s="226"/>
      <c r="D1" s="226"/>
      <c r="E1" s="226"/>
      <c r="F1" s="226"/>
      <c r="G1" s="226"/>
      <c r="H1" s="226"/>
      <c r="I1" s="226"/>
      <c r="J1" s="226"/>
      <c r="K1" s="226"/>
      <c r="L1" s="226"/>
      <c r="M1" s="227"/>
      <c r="N1" s="2"/>
      <c r="O1" s="713" t="s">
        <v>305</v>
      </c>
      <c r="P1" s="714"/>
      <c r="Q1" s="3" t="str">
        <f>IF(NOT(E9=500),"X",IF(E11="B","B",IF(E11="C","C","H")))</f>
        <v>H</v>
      </c>
      <c r="R1" s="3" t="str">
        <f>Q1&amp;IF(O28=1,O14,IF(R28=1,R12,U12))&amp;" @ "</f>
        <v xml:space="preserve">H16 @ </v>
      </c>
      <c r="T1" s="1" t="s">
        <v>72</v>
      </c>
      <c r="U1" s="99">
        <f>1000*(E$16-E$17*AE6)*D$18/AB6/G$22</f>
        <v>4.6257866885023429</v>
      </c>
      <c r="W1" s="684">
        <f ca="1">TODAY()</f>
        <v>43662</v>
      </c>
      <c r="X1" s="460" t="s">
        <v>38</v>
      </c>
      <c r="Y1" s="461"/>
      <c r="Z1" s="461"/>
      <c r="AA1" s="461"/>
      <c r="AB1" s="461"/>
      <c r="AD1" s="241" t="s">
        <v>71</v>
      </c>
      <c r="AE1" s="83"/>
      <c r="AG1" s="41">
        <v>0</v>
      </c>
      <c r="AH1" s="504">
        <v>8</v>
      </c>
      <c r="AI1" s="508" t="s">
        <v>279</v>
      </c>
      <c r="AJ1" s="513" t="s">
        <v>281</v>
      </c>
      <c r="AK1" s="8"/>
    </row>
    <row r="2" spans="1:39" ht="26.25" thickBot="1">
      <c r="A2" s="228"/>
      <c r="B2" s="265" t="s">
        <v>13</v>
      </c>
      <c r="C2" s="266" t="s">
        <v>441</v>
      </c>
      <c r="D2" s="298"/>
      <c r="E2" s="298"/>
      <c r="F2" s="298"/>
      <c r="G2" s="298"/>
      <c r="H2" s="299"/>
      <c r="I2" s="722" t="s">
        <v>263</v>
      </c>
      <c r="J2" s="723"/>
      <c r="K2" s="723"/>
      <c r="L2" s="724"/>
      <c r="M2" s="229"/>
      <c r="N2" s="2"/>
      <c r="O2" s="715" t="s">
        <v>306</v>
      </c>
      <c r="P2" s="716"/>
      <c r="Q2" s="1" t="s">
        <v>430</v>
      </c>
      <c r="R2" s="19">
        <f>E10/0.9814</f>
        <v>25.473812920317911</v>
      </c>
      <c r="T2" s="14" t="s">
        <v>73</v>
      </c>
      <c r="U2" s="99">
        <f>1000*(E$16-E$17*AE5)*D$18/AB5/G$22</f>
        <v>4.6257866884999208</v>
      </c>
      <c r="X2" s="463" t="s">
        <v>3</v>
      </c>
      <c r="Y2" s="685" t="s">
        <v>0</v>
      </c>
      <c r="Z2" s="463" t="s">
        <v>33</v>
      </c>
      <c r="AA2" s="463" t="s">
        <v>1</v>
      </c>
      <c r="AB2" s="463" t="s">
        <v>410</v>
      </c>
      <c r="AC2" s="463" t="s">
        <v>411</v>
      </c>
      <c r="AD2" s="686" t="s">
        <v>0</v>
      </c>
      <c r="AE2" s="242" t="s">
        <v>33</v>
      </c>
      <c r="AG2" s="43">
        <f>PI()/4*6^2</f>
        <v>28.274333882308138</v>
      </c>
      <c r="AH2" s="505">
        <v>8</v>
      </c>
      <c r="AI2" s="509">
        <v>8</v>
      </c>
      <c r="AJ2" s="514" t="s">
        <v>282</v>
      </c>
      <c r="AK2" s="8"/>
    </row>
    <row r="3" spans="1:39" ht="18">
      <c r="A3" s="226"/>
      <c r="B3" s="267" t="s">
        <v>14</v>
      </c>
      <c r="C3" s="268" t="s">
        <v>443</v>
      </c>
      <c r="D3" s="300"/>
      <c r="E3" s="301"/>
      <c r="F3" s="302"/>
      <c r="G3" s="302"/>
      <c r="H3" s="303"/>
      <c r="I3" s="316" t="s">
        <v>15</v>
      </c>
      <c r="J3" s="317" t="s">
        <v>16</v>
      </c>
      <c r="K3" s="318"/>
      <c r="L3" s="319" t="s">
        <v>17</v>
      </c>
      <c r="M3" s="229"/>
      <c r="N3" s="2"/>
      <c r="O3" s="13" t="s">
        <v>306</v>
      </c>
      <c r="P3" s="2"/>
      <c r="Q3" s="2"/>
      <c r="R3" s="75"/>
      <c r="T3" s="76"/>
      <c r="U3" s="77"/>
      <c r="X3" s="80">
        <v>1</v>
      </c>
      <c r="Y3" s="81">
        <f>2*G22</f>
        <v>636</v>
      </c>
      <c r="Z3" s="81">
        <f>2*PI()*Y3+2*($E$12+$E$13)</f>
        <v>5196.1058553662169</v>
      </c>
      <c r="AA3" s="81">
        <f>AB24</f>
        <v>0</v>
      </c>
      <c r="AB3" s="82">
        <f>Z3-AA3</f>
        <v>5196.1058553662169</v>
      </c>
      <c r="AC3" s="136">
        <f>(E$16-E$17*AE3)*D$18</f>
        <v>1765.2002003324942</v>
      </c>
      <c r="AD3" s="84">
        <v>0</v>
      </c>
      <c r="AE3" s="85">
        <f>($E$12*$E$13+2*AD3*($E$12+$E$13)+PI()*AD3^2)/1000000</f>
        <v>0.09</v>
      </c>
      <c r="AG3" s="43">
        <f>PI()/4*AH2^2</f>
        <v>50.26548245743669</v>
      </c>
      <c r="AH3" s="505">
        <v>10</v>
      </c>
      <c r="AI3" s="509">
        <v>10</v>
      </c>
      <c r="AJ3" s="515" t="s">
        <v>282</v>
      </c>
      <c r="AK3" s="8"/>
    </row>
    <row r="4" spans="1:39" ht="19.5">
      <c r="A4" s="226"/>
      <c r="B4" s="267" t="s">
        <v>18</v>
      </c>
      <c r="C4" s="268">
        <v>201</v>
      </c>
      <c r="D4" s="301"/>
      <c r="E4" s="301"/>
      <c r="F4" s="304"/>
      <c r="G4" s="719"/>
      <c r="H4" s="720"/>
      <c r="I4" s="305" t="s">
        <v>440</v>
      </c>
      <c r="J4" s="306">
        <f ca="1">TODAY()</f>
        <v>43662</v>
      </c>
      <c r="K4" s="307"/>
      <c r="L4" s="308">
        <v>1</v>
      </c>
      <c r="M4" s="230"/>
      <c r="N4" s="18" t="s">
        <v>75</v>
      </c>
      <c r="O4" s="703">
        <f>IF(γRC&lt;22,0.5,0.6)*(1-E8/250)</f>
        <v>0.5232</v>
      </c>
      <c r="P4" s="240" t="s">
        <v>91</v>
      </c>
      <c r="Q4" s="74">
        <f>MIN(E9/Refs!D8,250+G22/4)</f>
        <v>329.5</v>
      </c>
      <c r="R4" s="36" t="s">
        <v>78</v>
      </c>
      <c r="S4" s="35">
        <f>(SQRT(E16/E17)*500-MAX(E12:E13))/2</f>
        <v>1400.9668861026471</v>
      </c>
      <c r="X4" s="86" t="s">
        <v>409</v>
      </c>
      <c r="Y4" s="688">
        <f>1+Y13</f>
        <v>1071.0606631009184</v>
      </c>
      <c r="Z4" s="87">
        <f>2*PI()*Y4+2*($E$12+$E$13)</f>
        <v>7929.6726214937153</v>
      </c>
      <c r="AA4" s="87">
        <f>AA9*Y4/Y9</f>
        <v>0</v>
      </c>
      <c r="AB4" s="88">
        <f>Z4-AA4</f>
        <v>7929.6726214937153</v>
      </c>
      <c r="AC4" s="687">
        <f>(E$16-E$17*AE4)*D$18</f>
        <v>1713.8638829539134</v>
      </c>
      <c r="AD4" s="89">
        <f>Y4-2*G$22</f>
        <v>435.06066310091842</v>
      </c>
      <c r="AE4" s="90">
        <f>($E$12*$E$13+2*AD4*($E$12+$E$13)+PI()*AD4^2)/1000000</f>
        <v>1.2067064806721335</v>
      </c>
      <c r="AF4" s="26">
        <f>(1000*AC4/AB4/G$22)/I$24</f>
        <v>0.9991023426672393</v>
      </c>
      <c r="AG4" s="43">
        <f>PI()/4*AH3^2</f>
        <v>78.539816339744831</v>
      </c>
      <c r="AH4" s="505">
        <v>12</v>
      </c>
      <c r="AI4" s="509">
        <v>12</v>
      </c>
      <c r="AJ4" s="8"/>
      <c r="AK4" s="8"/>
    </row>
    <row r="5" spans="1:39" ht="19.5">
      <c r="A5" s="226"/>
      <c r="B5" s="269"/>
      <c r="C5" s="270" t="s">
        <v>249</v>
      </c>
      <c r="D5" s="309"/>
      <c r="E5" s="310"/>
      <c r="F5" s="304"/>
      <c r="G5" s="717" t="s">
        <v>63</v>
      </c>
      <c r="H5" s="718"/>
      <c r="I5" s="320" t="s">
        <v>19</v>
      </c>
      <c r="J5" s="321" t="s">
        <v>20</v>
      </c>
      <c r="K5" s="322"/>
      <c r="L5" s="323" t="s">
        <v>21</v>
      </c>
      <c r="M5" s="83"/>
      <c r="N5" s="1" t="s">
        <v>76</v>
      </c>
      <c r="O5" s="33">
        <f>E8/Refs!D7*Refs!D9</f>
        <v>21.333333333333332</v>
      </c>
      <c r="P5" s="240" t="s">
        <v>428</v>
      </c>
      <c r="Q5" s="79"/>
      <c r="R5" s="133" t="s">
        <v>155</v>
      </c>
      <c r="S5" s="134">
        <f>MAX(E12:E13)</f>
        <v>300</v>
      </c>
      <c r="X5" s="91" t="s">
        <v>45</v>
      </c>
      <c r="Y5" s="87">
        <f>MAX(0.0000000001,IF(AC15&lt;0,AC16,IF(AC16&lt;0,AC15,MIN(AC15:AC16))))</f>
        <v>1E-10</v>
      </c>
      <c r="Z5" s="87">
        <f>2*PI()*Y5+2*($E$12+$E$13)</f>
        <v>1200.0000000006282</v>
      </c>
      <c r="AA5" s="87">
        <f>AB26</f>
        <v>0</v>
      </c>
      <c r="AB5" s="88">
        <f>Z5-AA5</f>
        <v>1200.0000000006282</v>
      </c>
      <c r="AC5" s="136">
        <f>(E$16-E$17*AE5)*D$18</f>
        <v>1765.2002003324942</v>
      </c>
      <c r="AD5" s="89">
        <f>MAX(0,Y5-0.75*G$22)</f>
        <v>0</v>
      </c>
      <c r="AE5" s="90">
        <f>($E$12*$E$13+2*AD5*($E$12+$E$13)+PI()*AD5^2)/1000000</f>
        <v>0.09</v>
      </c>
      <c r="AG5" s="43">
        <f>PI()/4*AH4^2</f>
        <v>113.09733552923255</v>
      </c>
      <c r="AH5" s="505">
        <v>16</v>
      </c>
      <c r="AI5" s="509">
        <v>16</v>
      </c>
      <c r="AJ5" s="8"/>
      <c r="AK5" s="8"/>
    </row>
    <row r="6" spans="1:39" ht="20.25" thickBot="1">
      <c r="A6" s="226"/>
      <c r="B6" s="271"/>
      <c r="C6" s="272"/>
      <c r="D6" s="485" t="s">
        <v>375</v>
      </c>
      <c r="E6" s="516" t="str">
        <f ca="1">" v"&amp;A1&amp;" on CD                © 2003-"&amp;RIGHT(YEAR(W1),2)&amp;" TCC"</f>
        <v xml:space="preserve"> v4.16 on CD                © 2003-19 TCC</v>
      </c>
      <c r="F6" s="311"/>
      <c r="G6" s="329"/>
      <c r="H6" s="330" t="s">
        <v>64</v>
      </c>
      <c r="I6" s="312" t="s">
        <v>442</v>
      </c>
      <c r="J6" s="313" t="s">
        <v>5</v>
      </c>
      <c r="K6" s="314"/>
      <c r="L6" s="315">
        <v>3259</v>
      </c>
      <c r="M6" s="231"/>
      <c r="N6" s="1" t="s">
        <v>77</v>
      </c>
      <c r="O6" s="34">
        <f>MIN(2,1+SQRT(200/G22))</f>
        <v>1.7930515857181442</v>
      </c>
      <c r="P6" s="78" t="s">
        <v>147</v>
      </c>
      <c r="Q6" s="79" t="str">
        <f>IF(OR(E14=0,H14=0,MAX(IF(H12&lt;0,-H12-E12/2-H14,H12-E12/2),IF(H13&lt;0,-H13-E13/2-E14,H13-E13/2))&gt;6*G22),"NO","YES")</f>
        <v>NO</v>
      </c>
      <c r="R6" s="133" t="s">
        <v>156</v>
      </c>
      <c r="S6" s="134">
        <f>MIN(E12:E13)</f>
        <v>300</v>
      </c>
      <c r="T6" s="1" t="s">
        <v>223</v>
      </c>
      <c r="U6" s="5">
        <f>SQRT(MAX(Y20^2+Y21^2,Z20^2+Z21^2,AA20^2+AA21^2,AB20^2+AB21^2))</f>
        <v>1.4142135623730951E-10</v>
      </c>
      <c r="X6" s="92" t="s">
        <v>46</v>
      </c>
      <c r="Y6" s="93">
        <v>0</v>
      </c>
      <c r="Z6" s="93">
        <f>2*PI()*Y6+2*($E$12+$E$13)</f>
        <v>1200</v>
      </c>
      <c r="AA6" s="93">
        <f>AB27</f>
        <v>0</v>
      </c>
      <c r="AB6" s="94">
        <f>Z6-AA6</f>
        <v>1200</v>
      </c>
      <c r="AC6" s="136">
        <f>(E$16-E$17*AE6)*D$18</f>
        <v>1765.2002003324942</v>
      </c>
      <c r="AD6" s="95">
        <v>0</v>
      </c>
      <c r="AE6" s="96">
        <f>AE3</f>
        <v>0.09</v>
      </c>
      <c r="AG6" s="43">
        <f>PI()/4*AH5^2</f>
        <v>201.06192982974676</v>
      </c>
      <c r="AH6" s="505">
        <v>20</v>
      </c>
      <c r="AI6" s="509">
        <v>20</v>
      </c>
      <c r="AJ6" s="8"/>
      <c r="AK6" s="8"/>
      <c r="AL6" s="8"/>
      <c r="AM6" s="8"/>
    </row>
    <row r="7" spans="1:39" ht="18">
      <c r="A7" s="226"/>
      <c r="B7" s="273"/>
      <c r="C7" s="274"/>
      <c r="D7" s="274"/>
      <c r="E7" s="274"/>
      <c r="F7" s="274"/>
      <c r="G7" s="274"/>
      <c r="H7" s="274"/>
      <c r="I7" s="274"/>
      <c r="J7" s="274"/>
      <c r="K7" s="274"/>
      <c r="L7" s="275"/>
      <c r="M7" s="232"/>
      <c r="O7" s="34"/>
      <c r="AG7" s="45">
        <f>PI()/4*AH6^2</f>
        <v>314.15926535897933</v>
      </c>
      <c r="AH7" s="506">
        <v>25</v>
      </c>
      <c r="AI7" s="509">
        <v>25</v>
      </c>
      <c r="AJ7" s="8"/>
      <c r="AK7" s="8"/>
      <c r="AL7" s="8"/>
      <c r="AM7" s="8"/>
    </row>
    <row r="8" spans="1:39" ht="19.5">
      <c r="A8" s="226"/>
      <c r="B8" s="276" t="s">
        <v>23</v>
      </c>
      <c r="C8" s="249" t="s">
        <v>315</v>
      </c>
      <c r="D8" s="250" t="s">
        <v>22</v>
      </c>
      <c r="E8" s="251">
        <v>32</v>
      </c>
      <c r="F8" s="263" t="s">
        <v>40</v>
      </c>
      <c r="G8" s="264"/>
      <c r="H8" s="277"/>
      <c r="I8" s="261" t="s">
        <v>70</v>
      </c>
      <c r="J8" s="255"/>
      <c r="K8" s="255"/>
      <c r="L8" s="278"/>
      <c r="M8" s="233"/>
      <c r="N8" s="458" t="s">
        <v>101</v>
      </c>
      <c r="Q8" s="457"/>
      <c r="R8" s="459" t="s">
        <v>257</v>
      </c>
      <c r="S8" s="40">
        <v>8</v>
      </c>
      <c r="U8" s="459" t="s">
        <v>256</v>
      </c>
      <c r="V8" s="40">
        <v>12</v>
      </c>
      <c r="Y8" s="694" t="s">
        <v>420</v>
      </c>
      <c r="AG8" s="8"/>
      <c r="AH8" s="8"/>
      <c r="AI8" s="510">
        <v>32</v>
      </c>
      <c r="AJ8" s="8"/>
      <c r="AK8" s="8"/>
      <c r="AL8" s="8"/>
      <c r="AM8" s="8"/>
    </row>
    <row r="9" spans="1:39" ht="19.5">
      <c r="A9" s="226"/>
      <c r="B9" s="279"/>
      <c r="C9" s="249" t="s">
        <v>316</v>
      </c>
      <c r="D9" s="250" t="s">
        <v>22</v>
      </c>
      <c r="E9" s="251">
        <v>500</v>
      </c>
      <c r="F9" s="721" t="str">
        <f>IF(N40=0,"VALID DESIGN","FAILS on "&amp;O37&amp;O38&amp;O39)</f>
        <v>VALID DESIGN</v>
      </c>
      <c r="G9" s="721"/>
      <c r="H9" s="721"/>
      <c r="I9" s="255"/>
      <c r="J9" s="255"/>
      <c r="K9" s="255"/>
      <c r="L9" s="278"/>
      <c r="M9" s="260" t="s">
        <v>32</v>
      </c>
      <c r="N9" s="78" t="s">
        <v>271</v>
      </c>
      <c r="O9" s="502">
        <f>CEILING(0.19*$G22,5)</f>
        <v>65</v>
      </c>
      <c r="P9" s="115" t="s">
        <v>4</v>
      </c>
      <c r="Q9" s="49" t="s">
        <v>116</v>
      </c>
      <c r="R9" s="124">
        <f>((S5^2+S6^2)/4+D34*(S5+S6)+2*D34^2)/(S5+2*D34)</f>
        <v>305</v>
      </c>
      <c r="S9" s="51" t="s">
        <v>4</v>
      </c>
      <c r="T9" s="49" t="s">
        <v>116</v>
      </c>
      <c r="U9" s="124">
        <f>(S5+S6+4*D34-SQRT((S5+S6+4*D34)^2-4*((S5^2+S6^2)/4+D34*(S5+S6)+2*D34^2)))/2</f>
        <v>178.66486347620599</v>
      </c>
      <c r="V9" s="51" t="s">
        <v>4</v>
      </c>
      <c r="Y9" s="84">
        <f>4*G22</f>
        <v>1272</v>
      </c>
      <c r="Z9" s="81">
        <f>2*PI()*Y9+2*($E$12+$E$13)</f>
        <v>9192.2117107324339</v>
      </c>
      <c r="AA9" s="81">
        <f>AB25</f>
        <v>0</v>
      </c>
      <c r="AB9" s="82">
        <f>Z9-AA9</f>
        <v>9192.2117107324339</v>
      </c>
      <c r="AC9" s="244">
        <f>(E$16-E$17*AE9)*D$18</f>
        <v>1671.6965776493143</v>
      </c>
      <c r="AD9" s="84">
        <f>Y9-2*G$22</f>
        <v>636</v>
      </c>
      <c r="AE9" s="85">
        <f>($E$12*$E$13+2*AD9*($E$12+$E$13)+PI()*AD9^2)/1000000</f>
        <v>2.1239616620064568</v>
      </c>
      <c r="AF9" s="690">
        <f>(1000*AC9/AB9/G$22)/I$24</f>
        <v>0.84067153656405458</v>
      </c>
      <c r="AG9" s="8"/>
      <c r="AH9" s="8"/>
      <c r="AI9" s="512" t="s">
        <v>279</v>
      </c>
      <c r="AJ9" s="8"/>
      <c r="AK9" s="8"/>
      <c r="AL9" s="8"/>
      <c r="AM9" s="8"/>
    </row>
    <row r="10" spans="1:39" ht="16.5">
      <c r="A10" s="226"/>
      <c r="B10" s="279"/>
      <c r="C10" s="249" t="s">
        <v>421</v>
      </c>
      <c r="D10" s="250" t="s">
        <v>422</v>
      </c>
      <c r="E10" s="251">
        <v>25</v>
      </c>
      <c r="F10" s="731" t="str">
        <f>IF(E10&gt;22,"normal weight ","lightweight ")&amp;"concrete"</f>
        <v>normal weight concrete</v>
      </c>
      <c r="G10" s="731"/>
      <c r="H10" s="731"/>
      <c r="I10" s="255"/>
      <c r="J10" s="255"/>
      <c r="K10" s="255"/>
      <c r="L10" s="278"/>
      <c r="M10" s="233"/>
      <c r="N10" s="114" t="s">
        <v>113</v>
      </c>
      <c r="O10" s="105">
        <f>MAX(0,(I25-0.75*I24)/1.5/Q4*AB3)</f>
        <v>5.8671960237339489</v>
      </c>
      <c r="P10" s="115" t="s">
        <v>4</v>
      </c>
      <c r="Q10" s="114" t="s">
        <v>152</v>
      </c>
      <c r="R10" s="101">
        <f>0.08*SQRT($E8)/$E9/1.5*R9</f>
        <v>0.18403632491681879</v>
      </c>
      <c r="S10" s="132" t="s">
        <v>4</v>
      </c>
      <c r="T10" s="52" t="s">
        <v>152</v>
      </c>
      <c r="U10" s="54">
        <f>0.08*SQRT($E8)/$E9/1.5*U9</f>
        <v>0.10780598316697088</v>
      </c>
      <c r="V10" s="132" t="s">
        <v>4</v>
      </c>
      <c r="Y10" s="89">
        <f>Y9*AF9</f>
        <v>1069.3341945094774</v>
      </c>
      <c r="Z10" s="87">
        <f>2*PI()*Y10+2*($E$12+$E$13)</f>
        <v>7918.8248994066662</v>
      </c>
      <c r="AA10" s="87">
        <f>AA$9*Y10/Y$9</f>
        <v>0</v>
      </c>
      <c r="AB10" s="88">
        <f>Z10-AA10</f>
        <v>7918.8248994066662</v>
      </c>
      <c r="AC10" s="691">
        <f>(E$16-E$17*AE10)*D$18</f>
        <v>1714.1756510247089</v>
      </c>
      <c r="AD10" s="89">
        <f>Y10-2*G$22</f>
        <v>433.33419450947736</v>
      </c>
      <c r="AE10" s="90">
        <f>($E$12*$E$13+2*AD10*($E$12+$E$13)+PI()*AD10^2)/1000000</f>
        <v>1.1999246653238138</v>
      </c>
      <c r="AF10" s="692">
        <f>(1000*AC10/AB10/G$22)/I$24</f>
        <v>1.0006529732715874</v>
      </c>
      <c r="AG10" s="8"/>
      <c r="AH10" s="8"/>
      <c r="AI10" s="507" t="e">
        <f>VALUE(AI9)</f>
        <v>#VALUE!</v>
      </c>
      <c r="AJ10" s="8"/>
      <c r="AK10" s="8"/>
      <c r="AL10" s="8"/>
      <c r="AM10" s="8"/>
    </row>
    <row r="11" spans="1:39" ht="18">
      <c r="A11" s="226"/>
      <c r="B11" s="279"/>
      <c r="C11" s="511"/>
      <c r="D11" s="249" t="s">
        <v>260</v>
      </c>
      <c r="E11" s="251" t="s">
        <v>5</v>
      </c>
      <c r="F11" s="262" t="str">
        <f>IF(N38=1,"Increase As or link Ø.",IF(E8&gt;Refs!D12,"fck too high","."))</f>
        <v>.</v>
      </c>
      <c r="G11" s="255"/>
      <c r="H11" s="255"/>
      <c r="I11" s="255"/>
      <c r="J11" s="255"/>
      <c r="K11" s="255"/>
      <c r="L11" s="278"/>
      <c r="M11" s="233"/>
      <c r="N11" s="114" t="s">
        <v>153</v>
      </c>
      <c r="O11" s="101">
        <f>MAX(3,CEILING((E13+2*O9)/1.5/G22+1,1))</f>
        <v>3</v>
      </c>
      <c r="P11" s="115" t="s">
        <v>2</v>
      </c>
      <c r="Q11" s="114" t="s">
        <v>280</v>
      </c>
      <c r="R11" s="101">
        <f>VLOOKUP(R13/S8*$G22/2,$AG1:$AH7,2)</f>
        <v>16</v>
      </c>
      <c r="S11" s="51" t="s">
        <v>4</v>
      </c>
      <c r="T11" s="114" t="s">
        <v>280</v>
      </c>
      <c r="U11" s="101">
        <f>VLOOKUP(U13/V8*$G22/2,$AG1:$AH7,2)</f>
        <v>10</v>
      </c>
      <c r="V11" s="51" t="s">
        <v>4</v>
      </c>
      <c r="Y11" s="89">
        <f>Y10*AF10</f>
        <v>1070.0324411568865</v>
      </c>
      <c r="Z11" s="87">
        <f>2*PI()*Y11+2*($E$12+$E$13)</f>
        <v>7923.2121124824544</v>
      </c>
      <c r="AA11" s="87">
        <f>AA$9*Y11/Y$9</f>
        <v>0</v>
      </c>
      <c r="AB11" s="88">
        <f>Z11-AA11</f>
        <v>7923.2121124824544</v>
      </c>
      <c r="AC11" s="691">
        <f>(E$16-E$17*AE11)*D$18</f>
        <v>1714.0496643742363</v>
      </c>
      <c r="AD11" s="89">
        <f>Y11-2*G$22</f>
        <v>434.03244115688653</v>
      </c>
      <c r="AE11" s="90">
        <f>($E$12*$E$13+2*AD11*($E$12+$E$13)+PI()*AD11^2)/1000000</f>
        <v>1.2026652224234542</v>
      </c>
      <c r="AF11" s="692">
        <f>(1000*AC11/AB11/G$22)/I$24</f>
        <v>1.0000253910352259</v>
      </c>
      <c r="AG11" s="3"/>
      <c r="AH11" s="8"/>
      <c r="AI11" s="8"/>
      <c r="AJ11" s="8"/>
      <c r="AK11" s="8"/>
      <c r="AL11" s="8"/>
      <c r="AM11" s="8"/>
    </row>
    <row r="12" spans="1:39" ht="18">
      <c r="A12" s="226"/>
      <c r="B12" s="276" t="s">
        <v>24</v>
      </c>
      <c r="C12" s="249" t="s">
        <v>5</v>
      </c>
      <c r="D12" s="250" t="s">
        <v>4</v>
      </c>
      <c r="E12" s="251">
        <v>300</v>
      </c>
      <c r="F12" s="249" t="s">
        <v>7</v>
      </c>
      <c r="G12" s="250" t="s">
        <v>4</v>
      </c>
      <c r="H12" s="251">
        <v>0</v>
      </c>
      <c r="I12" s="255"/>
      <c r="J12" s="255"/>
      <c r="K12" s="255"/>
      <c r="L12" s="278"/>
      <c r="M12" s="260" t="s">
        <v>372</v>
      </c>
      <c r="N12" s="114" t="s">
        <v>154</v>
      </c>
      <c r="O12" s="101">
        <f>MAX(3,CEILING((E12+2*O9)/1.5/G22+1,1))</f>
        <v>3</v>
      </c>
      <c r="P12" s="115" t="s">
        <v>2</v>
      </c>
      <c r="Q12" s="52" t="s">
        <v>97</v>
      </c>
      <c r="R12" s="53">
        <f>IF(AI9=AI1,R11,AI10)</f>
        <v>16</v>
      </c>
      <c r="S12" s="51" t="s">
        <v>4</v>
      </c>
      <c r="T12" s="52" t="s">
        <v>97</v>
      </c>
      <c r="U12" s="53">
        <f>IF(AI9=AI1,U11,AI10)</f>
        <v>10</v>
      </c>
      <c r="V12" s="51" t="s">
        <v>4</v>
      </c>
      <c r="Y12" s="89">
        <f>Y11*AF11</f>
        <v>1070.0596103882929</v>
      </c>
      <c r="Z12" s="87">
        <f>2*PI()*Y12+2*($E$12+$E$13)</f>
        <v>7923.3828217980345</v>
      </c>
      <c r="AA12" s="87">
        <f>AA$9*Y12/Y$9</f>
        <v>0</v>
      </c>
      <c r="AB12" s="88">
        <f>Z12-AA12</f>
        <v>7923.3828217980345</v>
      </c>
      <c r="AC12" s="691">
        <f>(E$16-E$17*AE12)*D$18</f>
        <v>1714.044759305259</v>
      </c>
      <c r="AD12" s="89">
        <f>Y12-2*G$22</f>
        <v>434.05961038829287</v>
      </c>
      <c r="AE12" s="90">
        <f>($E$12*$E$13+2*AD12*($E$12+$E$13)+PI()*AD12^2)/1000000</f>
        <v>1.2027719212011316</v>
      </c>
      <c r="AF12" s="692">
        <f>(1000*AC12/AB12/G$22)/I$24</f>
        <v>1.0000009837887678</v>
      </c>
      <c r="AG12" s="3"/>
      <c r="AH12" s="8"/>
      <c r="AI12" s="8"/>
      <c r="AJ12" s="8"/>
      <c r="AK12" s="8"/>
      <c r="AL12" s="8"/>
      <c r="AM12" s="8"/>
    </row>
    <row r="13" spans="1:39" ht="15.75">
      <c r="A13" s="226"/>
      <c r="B13" s="279"/>
      <c r="C13" s="249" t="s">
        <v>6</v>
      </c>
      <c r="D13" s="250" t="s">
        <v>4</v>
      </c>
      <c r="E13" s="251">
        <v>300</v>
      </c>
      <c r="F13" s="249" t="s">
        <v>8</v>
      </c>
      <c r="G13" s="250" t="s">
        <v>4</v>
      </c>
      <c r="H13" s="251">
        <v>0</v>
      </c>
      <c r="I13" s="255"/>
      <c r="J13" s="255"/>
      <c r="K13" s="255"/>
      <c r="L13" s="278"/>
      <c r="N13" s="114" t="s">
        <v>280</v>
      </c>
      <c r="O13" s="101">
        <f>VLOOKUP(MAX(O10,O15)/(2*O18+2*O19)*$G22/2,AG1:AH7,2)</f>
        <v>10</v>
      </c>
      <c r="P13" s="115" t="s">
        <v>4</v>
      </c>
      <c r="Q13" s="52" t="s">
        <v>113</v>
      </c>
      <c r="R13" s="54">
        <f>MAX(R10,($I25-0.75*$I24)/1.5/$Q4*$AB3)</f>
        <v>5.8671960237339489</v>
      </c>
      <c r="S13" s="51" t="s">
        <v>4</v>
      </c>
      <c r="T13" s="52" t="s">
        <v>113</v>
      </c>
      <c r="U13" s="54">
        <f>MAX(U10,($I25-0.75*$I24)/1.5/$Q4*$AB3)</f>
        <v>5.8671960237339489</v>
      </c>
      <c r="V13" s="51" t="s">
        <v>4</v>
      </c>
      <c r="Y13" s="695">
        <f>Y12*AF12</f>
        <v>1070.0606631009184</v>
      </c>
      <c r="Z13" s="93">
        <f>2*PI()*Y13+2*($E$12+$E$13)</f>
        <v>7923.3894361865359</v>
      </c>
      <c r="AA13" s="93">
        <f>AA$9*Y13/Y$9</f>
        <v>0</v>
      </c>
      <c r="AB13" s="94">
        <f>Z13-AA13</f>
        <v>7923.3894361865359</v>
      </c>
      <c r="AC13" s="245">
        <f>(E$16-E$17*AE13)*D$18</f>
        <v>1714.0445692467131</v>
      </c>
      <c r="AD13" s="95">
        <f>Y13-2*G$22</f>
        <v>434.06066310091842</v>
      </c>
      <c r="AE13" s="96">
        <f>($E$12*$E$13+2*AD13*($E$12+$E$13)+PI()*AD13^2)/1000000</f>
        <v>1.2027760554986595</v>
      </c>
      <c r="AF13" s="693">
        <f>(1000*AC13/AB13/G$22)/I$24</f>
        <v>1.0000000381120533</v>
      </c>
      <c r="AG13" s="3"/>
      <c r="AH13" s="8"/>
      <c r="AI13" s="8"/>
      <c r="AJ13" s="8"/>
      <c r="AK13" s="8"/>
      <c r="AL13" s="8"/>
      <c r="AM13" s="8"/>
    </row>
    <row r="14" spans="1:39" ht="18">
      <c r="A14" s="226"/>
      <c r="B14" s="279"/>
      <c r="C14" s="249" t="s">
        <v>49</v>
      </c>
      <c r="D14" s="250" t="s">
        <v>4</v>
      </c>
      <c r="E14" s="251">
        <v>0</v>
      </c>
      <c r="F14" s="249" t="s">
        <v>50</v>
      </c>
      <c r="G14" s="250" t="s">
        <v>4</v>
      </c>
      <c r="H14" s="251">
        <v>0</v>
      </c>
      <c r="I14" s="255"/>
      <c r="J14" s="255"/>
      <c r="K14" s="255"/>
      <c r="L14" s="278"/>
      <c r="M14" s="260" t="s">
        <v>283</v>
      </c>
      <c r="N14" s="114" t="s">
        <v>97</v>
      </c>
      <c r="O14" s="101">
        <f>IF(AI9=AI1,O13,AI10)</f>
        <v>10</v>
      </c>
      <c r="P14" s="115" t="s">
        <v>4</v>
      </c>
      <c r="Q14" s="52" t="s">
        <v>111</v>
      </c>
      <c r="R14" s="50">
        <f>FLOOR(MIN(PI()/4*R12^2*S8/R13,0.75*$G22),5)</f>
        <v>235</v>
      </c>
      <c r="S14" s="51" t="s">
        <v>4</v>
      </c>
      <c r="T14" s="52" t="s">
        <v>111</v>
      </c>
      <c r="U14" s="50">
        <f>FLOOR(MIN(PI()/4*U12^2*V8/U13,0.75*$G22),5)</f>
        <v>160</v>
      </c>
      <c r="V14" s="51" t="s">
        <v>4</v>
      </c>
      <c r="X14" s="241"/>
      <c r="Y14" s="77"/>
      <c r="Z14" s="77"/>
      <c r="AA14" s="137" t="s">
        <v>52</v>
      </c>
      <c r="AB14" s="137" t="s">
        <v>54</v>
      </c>
      <c r="AC14" s="11"/>
      <c r="AD14" s="87"/>
      <c r="AE14" s="248"/>
      <c r="AF14" s="3"/>
      <c r="AG14" s="3"/>
      <c r="AI14" s="8"/>
      <c r="AJ14" s="8"/>
      <c r="AK14" s="8"/>
      <c r="AL14" s="8"/>
      <c r="AM14" s="8"/>
    </row>
    <row r="15" spans="1:39" ht="18">
      <c r="A15" s="226"/>
      <c r="B15" s="279"/>
      <c r="C15" s="249"/>
      <c r="D15" s="250"/>
      <c r="E15" s="251"/>
      <c r="F15" s="249"/>
      <c r="G15" s="250"/>
      <c r="H15" s="251"/>
      <c r="I15" s="255"/>
      <c r="J15" s="255"/>
      <c r="K15" s="255"/>
      <c r="L15" s="278"/>
      <c r="N15" s="114" t="s">
        <v>152</v>
      </c>
      <c r="O15" s="105">
        <f>0.08*SQRT(E8)/E9/1.5*(O21+O22)/2</f>
        <v>0.12973052412169195</v>
      </c>
      <c r="P15" s="115" t="s">
        <v>4</v>
      </c>
      <c r="Q15" s="52" t="s">
        <v>112</v>
      </c>
      <c r="R15" s="54">
        <f>PI()/4*R12^2*S8/R14</f>
        <v>6.8446614410126561</v>
      </c>
      <c r="S15" s="51" t="s">
        <v>4</v>
      </c>
      <c r="T15" s="52" t="s">
        <v>112</v>
      </c>
      <c r="U15" s="54">
        <f>PI()/4*U12^2*V8/U14</f>
        <v>5.8904862254808616</v>
      </c>
      <c r="V15" s="51" t="s">
        <v>4</v>
      </c>
      <c r="X15" s="463" t="s">
        <v>3</v>
      </c>
      <c r="Y15" s="463" t="s">
        <v>258</v>
      </c>
      <c r="Z15" s="78" t="s">
        <v>51</v>
      </c>
      <c r="AA15" s="243" t="str">
        <f>IF(AND(OR(H12=E12/2,H12+H14=-E12/2),H13&lt;E13/2,H13+E14&gt;-E13/2),"Y","N")</f>
        <v>N</v>
      </c>
      <c r="AB15" s="244">
        <f>IF(AA15="Y",MIN(E14,E13/2+IF(H13&lt;0,E14+H13,-H13)),0)</f>
        <v>0</v>
      </c>
      <c r="AC15" s="10">
        <f>IF(H12&gt;=0,H12,-H12-H14)-E12/2</f>
        <v>-150</v>
      </c>
      <c r="AF15" s="3"/>
      <c r="AG15" s="3"/>
      <c r="AH15" s="8"/>
      <c r="AI15" s="8"/>
      <c r="AJ15" s="8"/>
      <c r="AK15" s="8"/>
      <c r="AL15" s="8"/>
      <c r="AM15" s="8"/>
    </row>
    <row r="16" spans="1:39" ht="19.5">
      <c r="A16" s="226"/>
      <c r="B16" s="276" t="s">
        <v>30</v>
      </c>
      <c r="C16" s="249" t="s">
        <v>74</v>
      </c>
      <c r="D16" s="250" t="s">
        <v>12</v>
      </c>
      <c r="E16" s="251">
        <v>1120</v>
      </c>
      <c r="F16" s="249" t="s">
        <v>313</v>
      </c>
      <c r="G16" s="250" t="s">
        <v>303</v>
      </c>
      <c r="H16" s="252">
        <v>567</v>
      </c>
      <c r="I16" s="255"/>
      <c r="J16" s="255"/>
      <c r="K16" s="255"/>
      <c r="L16" s="278"/>
      <c r="M16" s="258" t="str">
        <f>IF(E8&gt;Refs!L12,Refs!G12,"√")</f>
        <v>√</v>
      </c>
      <c r="N16" s="83"/>
      <c r="O16" s="83"/>
      <c r="P16" s="83"/>
      <c r="Q16" s="125" t="s">
        <v>158</v>
      </c>
      <c r="R16" s="130">
        <f>IF(SQRT($E12*$E13/PI())+$D34+R31&gt;$U6+$G22,R31,R32)</f>
        <v>990.0770713547322</v>
      </c>
      <c r="S16" s="214" t="s">
        <v>4</v>
      </c>
      <c r="T16" s="215" t="s">
        <v>158</v>
      </c>
      <c r="U16" s="130">
        <f>IF(SQRT($E12*$E13/PI())+$D34+U31&gt;$U6+$G22,U31,U32)</f>
        <v>971.57926318635327</v>
      </c>
      <c r="V16" s="48" t="s">
        <v>4</v>
      </c>
      <c r="W16" s="3"/>
      <c r="X16" s="97">
        <v>1</v>
      </c>
      <c r="Y16" s="98">
        <f>1000*(E$16-E$17*AE3)*D$18/AB3/G$22</f>
        <v>1.0682892498177534</v>
      </c>
      <c r="Z16" s="78" t="s">
        <v>53</v>
      </c>
      <c r="AA16" s="92" t="str">
        <f>IF(AND(OR(H13=E13/2,H13+E14=-E13/2),H12&lt;E12/2,H12+H14&gt;-E12/2),"Y","N")</f>
        <v>N</v>
      </c>
      <c r="AB16" s="245">
        <f>IF(AA16="Y",MIN(H14,E12/2+IF(H12&lt;0,H14+H12,-H14)),0)</f>
        <v>0</v>
      </c>
      <c r="AC16" s="28">
        <f>IF(H13&gt;=0,H13,-H13-E14)-E13/2</f>
        <v>-150</v>
      </c>
      <c r="AF16" s="3"/>
      <c r="AG16" s="3"/>
      <c r="AH16" s="8"/>
      <c r="AI16" s="8"/>
      <c r="AJ16" s="8"/>
      <c r="AK16" s="8"/>
      <c r="AL16" s="8"/>
      <c r="AM16" s="8"/>
    </row>
    <row r="17" spans="1:39" ht="18">
      <c r="A17" s="226"/>
      <c r="B17" s="279"/>
      <c r="C17" s="249" t="s">
        <v>11</v>
      </c>
      <c r="D17" s="250" t="s">
        <v>26</v>
      </c>
      <c r="E17" s="254">
        <v>29.1</v>
      </c>
      <c r="F17" s="249" t="s">
        <v>314</v>
      </c>
      <c r="G17" s="250" t="s">
        <v>303</v>
      </c>
      <c r="H17" s="252">
        <v>10</v>
      </c>
      <c r="I17" s="253"/>
      <c r="J17" s="249"/>
      <c r="K17" s="351"/>
      <c r="L17" s="278"/>
      <c r="M17" s="258" t="str">
        <f>IF(H12&lt;0,"E must be positive","√")</f>
        <v>√</v>
      </c>
      <c r="N17" s="114" t="s">
        <v>111</v>
      </c>
      <c r="O17" s="101">
        <f>FLOOR(MIN(PI()/4*O14^2*(2*O18+2*O19)/MAX(O15,O10),0.75*$G22),5)</f>
        <v>160</v>
      </c>
      <c r="P17" s="115" t="s">
        <v>4</v>
      </c>
      <c r="Q17" s="125" t="s">
        <v>157</v>
      </c>
      <c r="R17" s="127">
        <f>R14*IF(R16-1.5*$G22/SIN(3*PI()/8)&lt;0,0,CEILING((R16-1.5*$G22/SIN(3*PI()/8))/R14,1))</f>
        <v>705</v>
      </c>
      <c r="S17" s="48" t="s">
        <v>4</v>
      </c>
      <c r="T17" s="125" t="s">
        <v>157</v>
      </c>
      <c r="U17" s="127">
        <f>U14*IF(U16-1.5*G22/SIN(5*PI()/12)&lt;0,0,CEILING((U16-1.5*G22/SIN(5*PI()/12))/U14,1))</f>
        <v>480</v>
      </c>
      <c r="V17" s="48" t="s">
        <v>4</v>
      </c>
      <c r="W17" s="3"/>
      <c r="X17" s="111"/>
      <c r="Y17" s="87"/>
      <c r="Z17" s="87"/>
      <c r="AA17" s="87"/>
      <c r="AB17" s="83"/>
      <c r="AC17" s="2"/>
      <c r="AD17" s="2"/>
      <c r="AE17" s="2"/>
      <c r="AF17" s="3"/>
      <c r="AG17" s="3"/>
      <c r="AH17" s="8"/>
      <c r="AI17" s="8"/>
      <c r="AJ17" s="8"/>
      <c r="AK17" s="8"/>
      <c r="AL17" s="8"/>
      <c r="AM17" s="8"/>
    </row>
    <row r="18" spans="1:39" ht="18">
      <c r="A18" s="226"/>
      <c r="B18" s="282"/>
      <c r="C18" s="249" t="s">
        <v>304</v>
      </c>
      <c r="D18" s="533">
        <f>IF(O3=O2,IF(H16=0,J43,IF(H17=0,J42,J44)),1.15)</f>
        <v>1.5797657203160731</v>
      </c>
      <c r="E18" s="17" t="str">
        <f>IF(O3=O2,IF(OR(H16=0,H17=0),"to expression (6.39)","to expression (6.43)"),"braced structure, adjacent spans differ no more than 25%")</f>
        <v>to expression (6.43)</v>
      </c>
      <c r="F18" s="249"/>
      <c r="G18" s="249"/>
      <c r="H18" s="252" t="s">
        <v>444</v>
      </c>
      <c r="I18" s="728" t="str">
        <f>IF(MAX(E12/E13,E13/E12)&gt;4,"This is a wall",".")</f>
        <v>.</v>
      </c>
      <c r="J18" s="728"/>
      <c r="K18" s="728"/>
      <c r="L18" s="729"/>
      <c r="M18" s="258" t="str">
        <f>IF(MAX(H12-E12/2,H13-E13/2)&gt;6*G22,"Hole not relevant - remove it.","√")</f>
        <v>√</v>
      </c>
      <c r="N18" s="114" t="s">
        <v>98</v>
      </c>
      <c r="O18" s="101">
        <f>O11</f>
        <v>3</v>
      </c>
      <c r="P18" s="115" t="s">
        <v>2</v>
      </c>
      <c r="Q18" s="125" t="s">
        <v>159</v>
      </c>
      <c r="R18" s="126">
        <f>1.5*$G22/SIN(3*PI()/8)+R17</f>
        <v>1221.3010795394721</v>
      </c>
      <c r="S18" s="48" t="s">
        <v>4</v>
      </c>
      <c r="T18" s="125" t="s">
        <v>159</v>
      </c>
      <c r="U18" s="126">
        <f>1.5*G22/SIN(5*PI()/12)+U17</f>
        <v>973.82673805560967</v>
      </c>
      <c r="V18" s="48" t="s">
        <v>4</v>
      </c>
      <c r="W18" s="3"/>
      <c r="X18" s="460" t="s">
        <v>204</v>
      </c>
      <c r="Y18" s="77"/>
      <c r="Z18" s="77"/>
      <c r="AA18" s="77"/>
      <c r="AB18" s="77"/>
      <c r="AC18" s="3"/>
      <c r="AD18" s="3"/>
      <c r="AE18" s="3"/>
      <c r="AF18" s="3"/>
      <c r="AG18" s="3"/>
      <c r="AH18" s="8"/>
      <c r="AI18" s="8"/>
      <c r="AJ18" s="8"/>
      <c r="AK18" s="8"/>
      <c r="AL18" s="8"/>
      <c r="AM18" s="8"/>
    </row>
    <row r="19" spans="1:39" ht="18">
      <c r="A19" s="226"/>
      <c r="B19" s="282"/>
      <c r="C19" s="249"/>
      <c r="D19" s="249"/>
      <c r="E19" s="249"/>
      <c r="F19" s="249"/>
      <c r="G19" s="249"/>
      <c r="H19" s="249"/>
      <c r="I19" s="255"/>
      <c r="J19" s="255"/>
      <c r="K19" s="255"/>
      <c r="L19" s="278"/>
      <c r="M19" s="612"/>
      <c r="N19" s="114" t="s">
        <v>99</v>
      </c>
      <c r="O19" s="101">
        <f>O12</f>
        <v>3</v>
      </c>
      <c r="P19" s="115" t="s">
        <v>2</v>
      </c>
      <c r="Q19" s="47" t="s">
        <v>58</v>
      </c>
      <c r="R19" s="128">
        <f>SQRT(R9^2+R9*R17*SQRT(2)+R17^2*(2-SQRT(2)))</f>
        <v>829.61845170583524</v>
      </c>
      <c r="S19" s="48" t="s">
        <v>4</v>
      </c>
      <c r="T19" s="47" t="s">
        <v>114</v>
      </c>
      <c r="U19" s="128">
        <f>SQRT((U9+U17/2)^2+(U17-U17*COS(PI()/6))^2)</f>
        <v>423.57497783235596</v>
      </c>
      <c r="V19" s="48" t="s">
        <v>4</v>
      </c>
      <c r="W19" s="3"/>
      <c r="X19" s="77"/>
      <c r="Y19" s="97" t="s">
        <v>181</v>
      </c>
      <c r="Z19" s="246" t="s">
        <v>182</v>
      </c>
      <c r="AA19" s="246" t="s">
        <v>183</v>
      </c>
      <c r="AB19" s="247" t="s">
        <v>184</v>
      </c>
      <c r="AC19" s="175" t="s">
        <v>203</v>
      </c>
      <c r="AD19" s="3" t="str">
        <f>IF(IF(AC20=0,10000000000,ABS(AC21/AC20))&lt;=1,"EW","NS")</f>
        <v>NS</v>
      </c>
      <c r="AE19" s="3"/>
      <c r="AF19" s="3"/>
      <c r="AG19" s="3"/>
      <c r="AH19" s="8"/>
      <c r="AI19" s="8"/>
      <c r="AJ19" s="8"/>
      <c r="AK19" s="8"/>
      <c r="AL19" s="8"/>
      <c r="AM19" s="8"/>
    </row>
    <row r="20" spans="1:39" ht="19.5">
      <c r="A20" s="226"/>
      <c r="B20" s="276" t="s">
        <v>25</v>
      </c>
      <c r="C20" s="16"/>
      <c r="D20" s="16"/>
      <c r="E20" s="249" t="s">
        <v>356</v>
      </c>
      <c r="F20" s="250" t="s">
        <v>4</v>
      </c>
      <c r="G20" s="251">
        <f>D21-20-6</f>
        <v>324</v>
      </c>
      <c r="H20" s="249" t="s">
        <v>357</v>
      </c>
      <c r="I20" s="250" t="s">
        <v>29</v>
      </c>
      <c r="J20" s="283">
        <v>3140</v>
      </c>
      <c r="K20" s="492" t="s">
        <v>79</v>
      </c>
      <c r="L20" s="497" t="str">
        <f>"ρx = "&amp;FIXED(J20/G20/10,3)</f>
        <v>ρx = 0.969</v>
      </c>
      <c r="M20" s="726" t="s">
        <v>376</v>
      </c>
      <c r="N20" s="114" t="s">
        <v>112</v>
      </c>
      <c r="O20" s="105">
        <f>PI()/4*O14^2*(2*O18+2*O19)/O17</f>
        <v>5.8904862254808616</v>
      </c>
      <c r="P20" s="115" t="s">
        <v>4</v>
      </c>
      <c r="Q20" s="47" t="s">
        <v>115</v>
      </c>
      <c r="R20" s="106" t="str">
        <f>IF(R19&gt;2*$G22,"INVALID", "VALID")</f>
        <v>INVALID</v>
      </c>
      <c r="T20" s="47" t="s">
        <v>115</v>
      </c>
      <c r="U20" s="63" t="str">
        <f>IF(U19&gt;2*$G22,"INVALID", "VALID")</f>
        <v>VALID</v>
      </c>
      <c r="V20" s="61"/>
      <c r="W20" s="3"/>
      <c r="X20" s="1" t="s">
        <v>185</v>
      </c>
      <c r="Y20" s="143">
        <f>IF(H12-AD20=0,0.0000000001,H12-AD20)</f>
        <v>1E-10</v>
      </c>
      <c r="Z20" s="64">
        <f>IF(H12+H14+AD20=0,0.0000000001,H12+H14+AD20)</f>
        <v>1E-10</v>
      </c>
      <c r="AA20" s="64">
        <f>Y20</f>
        <v>1E-10</v>
      </c>
      <c r="AB20" s="65">
        <f>Z20</f>
        <v>1E-10</v>
      </c>
      <c r="AC20" s="176">
        <f>H12+H14/2</f>
        <v>0</v>
      </c>
      <c r="AD20" s="3">
        <f>IF(AND(AD19="NS",E14&gt;H14),(SQRT(E14*H14)-MIN(E14,H14))/2,0)</f>
        <v>0</v>
      </c>
      <c r="AE20" s="3"/>
      <c r="AF20" s="2"/>
      <c r="AG20" s="3"/>
      <c r="AH20" s="8"/>
      <c r="AI20" s="8"/>
      <c r="AJ20" s="8"/>
      <c r="AK20" s="8"/>
      <c r="AL20" s="8"/>
      <c r="AM20" s="8"/>
    </row>
    <row r="21" spans="1:39">
      <c r="A21" s="226"/>
      <c r="B21" s="493" t="s">
        <v>10</v>
      </c>
      <c r="C21" s="250" t="s">
        <v>4</v>
      </c>
      <c r="D21" s="251">
        <v>350</v>
      </c>
      <c r="E21" s="249" t="s">
        <v>27</v>
      </c>
      <c r="F21" s="250" t="s">
        <v>4</v>
      </c>
      <c r="G21" s="251">
        <f>G20-12</f>
        <v>312</v>
      </c>
      <c r="H21" s="249" t="s">
        <v>28</v>
      </c>
      <c r="I21" s="250" t="s">
        <v>29</v>
      </c>
      <c r="J21" s="283">
        <v>3140</v>
      </c>
      <c r="K21" s="492" t="s">
        <v>80</v>
      </c>
      <c r="L21" s="497" t="str">
        <f>"ρy = "&amp;FIXED(J21/G21/10,3)</f>
        <v>ρy = 1.006</v>
      </c>
      <c r="M21" s="727"/>
      <c r="N21" s="113" t="s">
        <v>92</v>
      </c>
      <c r="O21" s="101">
        <f>FLOOR((E13+2*O9)/(O18-1),1)</f>
        <v>215</v>
      </c>
      <c r="P21" s="115" t="s">
        <v>4</v>
      </c>
      <c r="Q21" s="36" t="s">
        <v>160</v>
      </c>
      <c r="R21" s="59">
        <f>G22*(3*TAN(PI()/8)+2)</f>
        <v>1031.1597385039327</v>
      </c>
      <c r="S21" s="60" t="s">
        <v>4</v>
      </c>
      <c r="T21" s="36" t="s">
        <v>160</v>
      </c>
      <c r="U21" s="59">
        <f>G22*(3*TAN(PI()/12)+2)</f>
        <v>891.62352957929102</v>
      </c>
      <c r="V21" s="60" t="s">
        <v>4</v>
      </c>
      <c r="W21" s="3"/>
      <c r="X21" s="1" t="s">
        <v>186</v>
      </c>
      <c r="Y21" s="149">
        <f>IF(H13-AD21=0,0.0000000001,H13-AD21)</f>
        <v>1E-10</v>
      </c>
      <c r="Z21" s="150">
        <f>Y21</f>
        <v>1E-10</v>
      </c>
      <c r="AA21" s="150">
        <f>IF(H13+E14+AD21=0,0.0000000001,H13+E14+AD21)</f>
        <v>1E-10</v>
      </c>
      <c r="AB21" s="177">
        <f>AA21</f>
        <v>1E-10</v>
      </c>
      <c r="AC21" s="178">
        <f>H13+E14/2</f>
        <v>0</v>
      </c>
      <c r="AD21" s="3">
        <f>IF(AND(AD19="EW",H14&gt;E14),(SQRT(E14*H14)-MIN(E14,H14))/2,0)</f>
        <v>0</v>
      </c>
      <c r="AE21" s="3"/>
      <c r="AF21" s="2"/>
      <c r="AG21" s="3"/>
      <c r="AH21" s="8"/>
      <c r="AI21" s="8"/>
      <c r="AJ21" s="8"/>
      <c r="AK21" s="8"/>
      <c r="AL21" s="8"/>
      <c r="AM21" s="8"/>
    </row>
    <row r="22" spans="1:39" ht="15.75">
      <c r="A22" s="226"/>
      <c r="B22" s="279"/>
      <c r="C22" s="257"/>
      <c r="D22" s="257"/>
      <c r="E22" s="249" t="s">
        <v>90</v>
      </c>
      <c r="F22" s="250" t="s">
        <v>4</v>
      </c>
      <c r="G22" s="284">
        <f>(G20+G21)/2</f>
        <v>318</v>
      </c>
      <c r="H22" s="16"/>
      <c r="I22" s="16"/>
      <c r="J22" s="249"/>
      <c r="K22" s="249" t="s">
        <v>265</v>
      </c>
      <c r="L22" s="702">
        <f>MAX(IF(γRC&lt;22,0.5,0),MIN(2,SQRT(J20/G20*J21/G21)/10))</f>
        <v>0.9875971908927863</v>
      </c>
      <c r="M22" s="727"/>
      <c r="N22" s="113" t="s">
        <v>93</v>
      </c>
      <c r="O22" s="101">
        <f>FLOOR((E12+2*O9)/(O19-1),1)</f>
        <v>215</v>
      </c>
      <c r="P22" s="115" t="s">
        <v>4</v>
      </c>
      <c r="Q22" s="36" t="s">
        <v>158</v>
      </c>
      <c r="R22" s="62">
        <f>SQRT(2)*(R21*COS(PI()/8)-R9)</f>
        <v>915.93998867705352</v>
      </c>
      <c r="S22" s="60" t="s">
        <v>4</v>
      </c>
      <c r="T22" s="36" t="s">
        <v>158</v>
      </c>
      <c r="U22" s="62">
        <f>2*(U21*COS(PI()/12)-U9)</f>
        <v>1365.1546621428924</v>
      </c>
      <c r="V22" s="60" t="s">
        <v>4</v>
      </c>
      <c r="W22" s="3"/>
      <c r="X22" s="1" t="s">
        <v>187</v>
      </c>
      <c r="Y22" s="156">
        <f>MIN(IF(Y20=0,1000000000*SIGN(Y21),Y21/Y20),IF(Z20=0,1000000000*SIGN(Z21),Z21/Z20),IF(AA20=0,1000000000*SIGN(AA21),AA21/AA20),IF(AB20=0,1000000000*SIGN(AB21),AB21/AB20))</f>
        <v>1</v>
      </c>
      <c r="Z22" s="2"/>
      <c r="AA22" s="1" t="s">
        <v>188</v>
      </c>
      <c r="AB22" s="156">
        <f>MAX(IF(Y20=0,1000000000*SIGN(Y21),Y21/Y20),IF(Z20=0,1000000000*SIGN(Z21),Z21/Z20),IF(AA20=0,1000000000*SIGN(AA21),AA21/AA20),IF(AB20=0,1000000000*SIGN(AB21),AB21/AB20))</f>
        <v>1</v>
      </c>
      <c r="AC22" s="3"/>
      <c r="AE22" s="3"/>
      <c r="AF22" s="3"/>
      <c r="AG22" s="3"/>
      <c r="AH22" s="8"/>
      <c r="AI22" s="8"/>
      <c r="AJ22" s="8"/>
      <c r="AK22" s="8"/>
      <c r="AL22" s="8"/>
      <c r="AM22" s="8"/>
    </row>
    <row r="23" spans="1:39">
      <c r="A23" s="226"/>
      <c r="B23" s="279"/>
      <c r="C23" s="257"/>
      <c r="D23" s="257"/>
      <c r="E23" s="257"/>
      <c r="F23" s="255"/>
      <c r="G23" s="255"/>
      <c r="H23" s="255"/>
      <c r="I23" s="255"/>
      <c r="J23" s="255"/>
      <c r="K23" s="255"/>
      <c r="L23" s="278"/>
      <c r="M23" s="730" t="str">
        <f>IF(MAX(E12:E13)&gt;4*G22,"Column size &gt; 4d. For a conservative solution, consider reducing to 4d, using CALCULATE ß option and adding side spurs as required","√")</f>
        <v>√</v>
      </c>
      <c r="N23" s="113"/>
      <c r="O23" s="102"/>
      <c r="P23" s="115"/>
      <c r="Q23" s="36" t="s">
        <v>157</v>
      </c>
      <c r="R23" s="59">
        <f>CEILING(R22-1.5*G22/SIN(3*PI()/8),R14)</f>
        <v>470</v>
      </c>
      <c r="S23" s="60" t="s">
        <v>4</v>
      </c>
      <c r="T23" s="36" t="s">
        <v>157</v>
      </c>
      <c r="U23" s="59">
        <f>CEILING(U22-1.5*G22/SIN(5*PI()/12),U14)</f>
        <v>960</v>
      </c>
      <c r="V23" s="60" t="s">
        <v>4</v>
      </c>
      <c r="W23" s="3"/>
      <c r="X23" s="7" t="s">
        <v>178</v>
      </c>
      <c r="Y23" s="7" t="s">
        <v>179</v>
      </c>
      <c r="Z23" s="7" t="s">
        <v>189</v>
      </c>
      <c r="AA23" s="111" t="s">
        <v>190</v>
      </c>
      <c r="AB23" s="7" t="s">
        <v>180</v>
      </c>
      <c r="AC23" s="3"/>
      <c r="AD23" s="3"/>
      <c r="AE23" s="3"/>
      <c r="AJ23" s="8"/>
      <c r="AK23" s="8"/>
      <c r="AL23" s="8"/>
      <c r="AM23" s="8"/>
    </row>
    <row r="24" spans="1:39" ht="18" customHeight="1">
      <c r="A24" s="226"/>
      <c r="B24" s="276" t="s">
        <v>31</v>
      </c>
      <c r="C24" s="249" t="s">
        <v>242</v>
      </c>
      <c r="D24" s="285">
        <f>E16*D18</f>
        <v>1769.3376067540019</v>
      </c>
      <c r="E24" s="256" t="s">
        <v>12</v>
      </c>
      <c r="F24" s="255"/>
      <c r="G24" s="255"/>
      <c r="H24" s="249" t="s">
        <v>347</v>
      </c>
      <c r="I24" s="701">
        <f>MAX(Refs!D10/Refs!D7*Refs!D15*O6*(L22*E8)^(1/3),Refs!D15*Refs!D11*O6^1.5*SQRT(E8))</f>
        <v>0.68027415536821245</v>
      </c>
      <c r="J24" s="253" t="s">
        <v>22</v>
      </c>
      <c r="K24" s="255"/>
      <c r="L24" s="327" t="s">
        <v>217</v>
      </c>
      <c r="M24" s="730"/>
      <c r="N24" s="113"/>
      <c r="O24" s="102"/>
      <c r="P24" s="115"/>
      <c r="Q24" s="58" t="s">
        <v>100</v>
      </c>
      <c r="R24" s="59">
        <f>8*G22*(3*TAN(PI()/8)+2)</f>
        <v>8249.2779080314613</v>
      </c>
      <c r="S24" s="60" t="s">
        <v>4</v>
      </c>
      <c r="T24" s="58" t="s">
        <v>100</v>
      </c>
      <c r="U24" s="59">
        <f>12*G22*(3*TAN(PI()/12)+2)</f>
        <v>10699.482354951491</v>
      </c>
      <c r="V24" s="60" t="s">
        <v>4</v>
      </c>
      <c r="W24" s="3"/>
      <c r="X24" s="143">
        <f>Y3+E$12/2</f>
        <v>786</v>
      </c>
      <c r="Y24" s="64">
        <f>Y3+E$13/2</f>
        <v>786</v>
      </c>
      <c r="Z24" s="144">
        <f>E$12/2/Y24</f>
        <v>0.19083969465648856</v>
      </c>
      <c r="AA24" s="144">
        <f>E$13/2/X24</f>
        <v>0.19083969465648856</v>
      </c>
      <c r="AB24" s="145">
        <f>IF(Q$6="NO",0,SUM(X34:AI34))</f>
        <v>0</v>
      </c>
      <c r="AC24" s="172"/>
      <c r="AD24" s="3"/>
      <c r="AE24" s="3"/>
      <c r="AK24" s="8"/>
      <c r="AL24" s="8"/>
      <c r="AM24" s="8"/>
    </row>
    <row r="25" spans="1:39" ht="19.5">
      <c r="A25" s="226"/>
      <c r="B25" s="279"/>
      <c r="C25" s="249" t="str">
        <f>IF(U2&gt;U1,T2,T1)</f>
        <v>At col. face, vEd =</v>
      </c>
      <c r="D25" s="287">
        <f>MAX(U1:U2)</f>
        <v>4.6257866885023429</v>
      </c>
      <c r="E25" s="253" t="s">
        <v>22</v>
      </c>
      <c r="F25" s="255"/>
      <c r="G25" s="255"/>
      <c r="H25" s="249" t="s">
        <v>348</v>
      </c>
      <c r="I25" s="286">
        <f>Y16</f>
        <v>1.0682892498177534</v>
      </c>
      <c r="J25" s="253" t="s">
        <v>22</v>
      </c>
      <c r="K25" s="564">
        <f>I25/I24/Refs!D13</f>
        <v>0.78519023645659436</v>
      </c>
      <c r="L25" s="328"/>
      <c r="M25" s="730"/>
      <c r="N25" s="114" t="s">
        <v>110</v>
      </c>
      <c r="O25" s="101">
        <f>O17+D34</f>
        <v>315</v>
      </c>
      <c r="P25" s="116" t="s">
        <v>109</v>
      </c>
      <c r="Q25" s="52" t="s">
        <v>110</v>
      </c>
      <c r="R25" s="55">
        <f>R14+$D34</f>
        <v>390</v>
      </c>
      <c r="S25" s="56" t="s">
        <v>109</v>
      </c>
      <c r="T25" s="52" t="s">
        <v>110</v>
      </c>
      <c r="U25" s="55">
        <f>U14+$D34</f>
        <v>315</v>
      </c>
      <c r="V25" s="56" t="s">
        <v>109</v>
      </c>
      <c r="W25" s="3"/>
      <c r="X25" s="146">
        <f>Y9+E$12/2</f>
        <v>1422</v>
      </c>
      <c r="Y25" s="66">
        <f>Y9+E$13/2</f>
        <v>1422</v>
      </c>
      <c r="Z25" s="147">
        <f>E$12/2/Y25</f>
        <v>0.10548523206751055</v>
      </c>
      <c r="AA25" s="147">
        <f>E$13/2/X25</f>
        <v>0.10548523206751055</v>
      </c>
      <c r="AB25" s="148">
        <f>IF(Q$6="NO",0,SUM(X35:AI35))</f>
        <v>0</v>
      </c>
      <c r="AC25" s="173">
        <f>AB25/Z4</f>
        <v>0</v>
      </c>
      <c r="AD25" s="5" t="s">
        <v>191</v>
      </c>
      <c r="AE25" s="174">
        <f>1-AC25</f>
        <v>1</v>
      </c>
      <c r="AK25" s="8"/>
      <c r="AL25" s="8"/>
      <c r="AM25" s="8"/>
    </row>
    <row r="26" spans="1:39" ht="19.5">
      <c r="A26" s="226"/>
      <c r="B26" s="279"/>
      <c r="C26" s="257"/>
      <c r="D26" s="257"/>
      <c r="E26" s="257"/>
      <c r="F26" s="16"/>
      <c r="G26" s="257"/>
      <c r="H26" s="249" t="s">
        <v>416</v>
      </c>
      <c r="I26" s="21">
        <f>IF(I25&gt;I24,AB4,2*(E12+E13))</f>
        <v>7929.6726214937153</v>
      </c>
      <c r="J26" s="725" t="str">
        <f>"(≈ "&amp;FIXED(Y4,0)&amp;" from col face)"</f>
        <v>(≈ 1,071 from col face)</v>
      </c>
      <c r="K26" s="725"/>
      <c r="L26" s="327" t="s">
        <v>218</v>
      </c>
      <c r="M26" s="258" t="str">
        <f>IF(D25&gt;IF(γRC&lt;22,0.4,Refs!D14)*O4*O5,"VEd too great","√")</f>
        <v>√</v>
      </c>
      <c r="N26" s="113" t="s">
        <v>108</v>
      </c>
      <c r="O26" s="503">
        <f>MAX(O25,CEILING((2*G22/SQRT(2)+O9-D34),O17)+D34)</f>
        <v>635</v>
      </c>
      <c r="P26" s="116" t="s">
        <v>102</v>
      </c>
      <c r="Q26" s="49" t="s">
        <v>108</v>
      </c>
      <c r="R26" s="129">
        <f>IF(R20="VALID",R17,R23)+D34</f>
        <v>625</v>
      </c>
      <c r="S26" s="56" t="s">
        <v>102</v>
      </c>
      <c r="T26" s="49" t="s">
        <v>108</v>
      </c>
      <c r="U26" s="221">
        <f>U17+$D34</f>
        <v>635</v>
      </c>
      <c r="V26" s="56" t="s">
        <v>102</v>
      </c>
      <c r="W26" s="2"/>
      <c r="X26" s="146">
        <f>Y5+E$12/2</f>
        <v>150.00000000009999</v>
      </c>
      <c r="Y26" s="66">
        <f>Y5+E$13/2</f>
        <v>150.00000000009999</v>
      </c>
      <c r="Z26" s="147">
        <f>E$12/2/Y26</f>
        <v>0.99999999999933342</v>
      </c>
      <c r="AA26" s="147">
        <f>E$13/2/X26</f>
        <v>0.99999999999933342</v>
      </c>
      <c r="AB26" s="148">
        <f>IF(Q$6="NO",0,SUM(X36:AI36))</f>
        <v>0</v>
      </c>
      <c r="AC26" s="2"/>
      <c r="AD26" s="2"/>
      <c r="AE26" s="2"/>
      <c r="AK26" s="8"/>
      <c r="AL26" s="8"/>
      <c r="AM26" s="8"/>
    </row>
    <row r="27" spans="1:39" ht="18">
      <c r="A27" s="226"/>
      <c r="B27" s="288"/>
      <c r="C27" s="257"/>
      <c r="D27" s="257"/>
      <c r="E27" s="257"/>
      <c r="F27" s="16"/>
      <c r="G27" s="257"/>
      <c r="H27" s="257"/>
      <c r="I27" s="257"/>
      <c r="J27" s="257"/>
      <c r="K27" s="256"/>
      <c r="L27" s="289"/>
      <c r="M27" s="258" t="str">
        <f>IF(K25&gt;1,"VEd/VRdc too great","√")</f>
        <v>√</v>
      </c>
      <c r="N27" s="114" t="s">
        <v>100</v>
      </c>
      <c r="O27" s="103">
        <f>2*(E12+E13)+8*O9+G22*(8+3*PI())</f>
        <v>7261.0793915246622</v>
      </c>
      <c r="P27" s="115" t="s">
        <v>4</v>
      </c>
      <c r="Q27" s="114" t="s">
        <v>100</v>
      </c>
      <c r="R27" s="103">
        <f>IF(R20="VALID",R33,R24)</f>
        <v>8249.2779080314613</v>
      </c>
      <c r="S27" s="115" t="s">
        <v>4</v>
      </c>
      <c r="T27" s="114" t="s">
        <v>100</v>
      </c>
      <c r="U27" s="219">
        <f>U33</f>
        <v>8138.9401244438923</v>
      </c>
      <c r="V27" s="51" t="s">
        <v>4</v>
      </c>
      <c r="W27" s="2"/>
      <c r="X27" s="149">
        <f>Y6+E$12/2</f>
        <v>150</v>
      </c>
      <c r="Y27" s="150">
        <f>Y6+E$13/2</f>
        <v>150</v>
      </c>
      <c r="Z27" s="151">
        <f>E$12/2/Y27</f>
        <v>1</v>
      </c>
      <c r="AA27" s="151">
        <f>E$13/2/X27</f>
        <v>1</v>
      </c>
      <c r="AB27" s="152">
        <f>IF(Q$6="NO",0,SUM(X37:AI37))</f>
        <v>0</v>
      </c>
      <c r="AK27" s="8"/>
      <c r="AL27" s="8"/>
      <c r="AM27" s="8"/>
    </row>
    <row r="28" spans="1:39" ht="18">
      <c r="A28" s="226"/>
      <c r="B28" s="623" t="str">
        <f>IF(I24&gt;=I25,"No links required","SOLUTION ")</f>
        <v xml:space="preserve">SOLUTION </v>
      </c>
      <c r="C28" s="331" t="str">
        <f>"Fig 6.22 ("&amp;IF(O28=1,"B","A")&amp;")"</f>
        <v>Fig 6.22 (A)</v>
      </c>
      <c r="D28" s="16"/>
      <c r="E28" s="700" t="str">
        <f>IF(γRC&lt;22,"(use 1.5 x mandrel diams in clause 8.3)",".")</f>
        <v>.</v>
      </c>
      <c r="F28" s="257"/>
      <c r="G28" s="257"/>
      <c r="H28" s="257"/>
      <c r="I28" s="255"/>
      <c r="J28" s="255"/>
      <c r="K28" s="255"/>
      <c r="L28" s="278"/>
      <c r="M28" s="234"/>
      <c r="N28" s="464" t="str">
        <f>IF(O28=0,"No solution","ok")</f>
        <v>No solution</v>
      </c>
      <c r="O28" s="57">
        <f>IF(OR(O27&lt;$I26,O14=0,O13&gt;O14,AJ3=AJ1),0,1)</f>
        <v>0</v>
      </c>
      <c r="P28" s="51"/>
      <c r="Q28" s="464" t="str">
        <f>IF(R28=0,"No solution","ok")</f>
        <v>ok</v>
      </c>
      <c r="R28" s="109">
        <f>IF(OR(R27&lt;$I26,S28&gt;1.5*$G22,R11&gt;R12),0,1)</f>
        <v>1</v>
      </c>
      <c r="S28" s="213">
        <f>SQRT((R9+R14*SIN(PI()/4))^2+(R14*(1-COS(PI()/4)))^2)</f>
        <v>476.17099145268958</v>
      </c>
      <c r="T28" s="465" t="str">
        <f>IF(U28=0,"No solution","ok")</f>
        <v>ok</v>
      </c>
      <c r="U28" s="109">
        <f>IF(OR(U27&lt;$I26,V28&gt;1.5*$G22,U11&gt;U12),0,IF(U20="INVALID",2,1))</f>
        <v>1</v>
      </c>
      <c r="V28" s="213">
        <f>SQRT((U9+U14*SIN(PI()/6))^2+(U14*(1-COS(PI()/6)))^2)*IF(U20="INVALID",0.5,1)</f>
        <v>259.55155735113789</v>
      </c>
      <c r="AJ28" s="164"/>
      <c r="AK28" s="8"/>
      <c r="AL28" s="8"/>
      <c r="AM28" s="8"/>
    </row>
    <row r="29" spans="1:39" ht="18">
      <c r="A29" s="226"/>
      <c r="B29" s="288"/>
      <c r="C29" s="325" t="str">
        <f>O32&amp;" link spurs of "&amp;O30&amp;R1&amp;O33</f>
        <v>8 link spurs of 3H16 @ 235</v>
      </c>
      <c r="D29" s="257"/>
      <c r="E29" s="257"/>
      <c r="F29" s="257"/>
      <c r="G29" s="356">
        <f>IF(O28=1,2*(O18+O19),IF(R28=1,S8,V8))*O30+IF(AND(O28+R28=0,U28=2),V8*U35,0)</f>
        <v>24</v>
      </c>
      <c r="H29" s="357" t="s">
        <v>119</v>
      </c>
      <c r="I29" s="255"/>
      <c r="J29" s="255"/>
      <c r="K29" s="255"/>
      <c r="L29" s="278"/>
      <c r="M29" s="234"/>
      <c r="N29" s="14" t="s">
        <v>117</v>
      </c>
      <c r="O29" s="29">
        <f>(O26-D34)/O17+1</f>
        <v>4</v>
      </c>
      <c r="P29" s="51" t="s">
        <v>118</v>
      </c>
      <c r="Q29" s="14" t="s">
        <v>117</v>
      </c>
      <c r="R29" s="29">
        <f>(R26-D34)/R14+1</f>
        <v>3</v>
      </c>
      <c r="S29" s="51" t="s">
        <v>118</v>
      </c>
      <c r="T29" s="14" t="s">
        <v>117</v>
      </c>
      <c r="U29" s="220">
        <f>(U26-$D34)/U14+1</f>
        <v>4</v>
      </c>
      <c r="V29" s="51" t="s">
        <v>118</v>
      </c>
      <c r="X29" s="168" t="s">
        <v>202</v>
      </c>
      <c r="Y29" s="167" t="s">
        <v>199</v>
      </c>
      <c r="Z29" s="167" t="s">
        <v>198</v>
      </c>
      <c r="AA29" s="168" t="s">
        <v>192</v>
      </c>
      <c r="AB29" s="167" t="s">
        <v>197</v>
      </c>
      <c r="AC29" s="167" t="s">
        <v>196</v>
      </c>
      <c r="AD29" s="168" t="s">
        <v>7</v>
      </c>
      <c r="AE29" s="167" t="s">
        <v>195</v>
      </c>
      <c r="AF29" s="167" t="s">
        <v>194</v>
      </c>
      <c r="AG29" s="168" t="s">
        <v>193</v>
      </c>
      <c r="AH29" s="167" t="s">
        <v>200</v>
      </c>
      <c r="AI29" s="167" t="s">
        <v>201</v>
      </c>
      <c r="AJ29" s="164"/>
    </row>
    <row r="30" spans="1:39" ht="18">
      <c r="A30" s="226"/>
      <c r="B30" s="291"/>
      <c r="C30" s="326" t="str">
        <f>IF(AND(O28+R28=0,U28=2),"plus 12 spurs of "&amp;U35&amp;R1&amp;U14,".")</f>
        <v>.</v>
      </c>
      <c r="D30" s="257"/>
      <c r="E30" s="257"/>
      <c r="F30" s="257"/>
      <c r="G30" s="257"/>
      <c r="H30" s="257"/>
      <c r="I30" s="20"/>
      <c r="J30" s="20"/>
      <c r="K30" s="255"/>
      <c r="L30" s="278"/>
      <c r="M30" s="498" t="str">
        <f>IF(O31+D34&gt;S4,"Links may be outside Column Strip, CHECK MAIN As","√")</f>
        <v>√</v>
      </c>
      <c r="N30" s="1" t="s">
        <v>123</v>
      </c>
      <c r="O30" s="222">
        <f>IF(O28&gt;0,O29,IF(R28&gt;0,R29,U29))</f>
        <v>3</v>
      </c>
      <c r="P30" s="51" t="s">
        <v>2</v>
      </c>
      <c r="R30" s="8"/>
      <c r="W30" s="3"/>
      <c r="X30" s="37">
        <f>IF(AND(Y$20&lt;=-E$12/2,MIN(-Y$21/Y$20,-Z$21/Z$20)&lt;AA24,MAX(-AA$21/AA$20,-AB$21/AB$20)&gt;-AA24),1,0)</f>
        <v>0</v>
      </c>
      <c r="Y30" s="37">
        <f>IF(AND(AA$21&gt;0,Y$20&lt;0,(-Y$21/Y$20*X24-E$13/2)/Y3&lt;1),1,0)</f>
        <v>0</v>
      </c>
      <c r="Z30" s="37">
        <f>IF(AND(Y$21&gt;0,Y$20&lt;0,(-AB$20/AB$21*Y24-E$12/2)/Y3&lt;1),1,0)</f>
        <v>0</v>
      </c>
      <c r="AA30" s="37">
        <f>IF(AND(Y$21&gt;=E$13/2,MIN(Y$20/Y$21,AA$20/AA$21)&lt;Z24,MAX(Z$20/Z$21,AB$20/AB$21)&gt;-Z24),1,0)</f>
        <v>0</v>
      </c>
      <c r="AB30" s="37">
        <f>IF(AND(AA$21&gt;0,Z$20&gt;0,(AA$20/AA$21*Y24-E$12/2)/Y3&lt;1),1,0)</f>
        <v>0</v>
      </c>
      <c r="AC30" s="37">
        <f>IF(AND(AA$21&gt;0,Z$20&gt;0,(Z$21/Z$20*X24-E$13/2)/Y3&lt;1),1,0)</f>
        <v>0</v>
      </c>
      <c r="AD30" s="37">
        <f>IF(AND(Y$20&gt;=E$12/2,Z$21/Z$20&lt;AA24,AB$21/AB$20&gt;-AA24),1,0)</f>
        <v>0</v>
      </c>
      <c r="AE30" s="37">
        <f>IF(AND(Y$21&lt;0,AB$20&gt;0,(-AB$21/AB$20*X24-E$13/2)/Y3&lt;1),1,0)</f>
        <v>0</v>
      </c>
      <c r="AF30" s="37">
        <f>IF(AND(Y$21&lt;0,AB$20&gt;0,(-Y$20/Y$21*Y24-E$12/2)/Y3&lt;1),1,0)</f>
        <v>0</v>
      </c>
      <c r="AG30" s="37">
        <f>IF(AND(Y$21&lt;=-E$13/2-H$14,MIN(-AA$20/AA$21,-Y$20/Y$21)&lt;Z24,MAX(-AB$20/AB$21,-Z$20/Z$21)&gt;-Z24),1,0)</f>
        <v>0</v>
      </c>
      <c r="AH30" s="37">
        <f>IF(AND(Y$21&lt;0,Y$20&lt;0,(Z$20/Z$21*Y24-E$12/2)/Y3&lt;1),1,0)</f>
        <v>0</v>
      </c>
      <c r="AI30" s="37">
        <f>IF(AND(Y$21&lt;0,Y$20&lt;0,(AA$21/AA$20*X24-E$13/2)/Y3&lt;1),1,0)</f>
        <v>0</v>
      </c>
      <c r="AJ30" s="164"/>
    </row>
    <row r="31" spans="1:39">
      <c r="A31" s="226"/>
      <c r="B31" s="279"/>
      <c r="C31" s="249" t="str">
        <f>"St "&amp;IF(O28=1,"(average)","")&amp;" ="</f>
        <v>St  =</v>
      </c>
      <c r="D31" s="20">
        <f>IF(O28=1,ROUND(((O18-1)*O21+(O19-1)*O22)/(O18+O19-2),1),IF(R28=1,R9,U9))</f>
        <v>305</v>
      </c>
      <c r="E31" s="256" t="s">
        <v>4</v>
      </c>
      <c r="F31" s="249" t="s">
        <v>111</v>
      </c>
      <c r="G31" s="20">
        <f>IF(O28=1,O17,IF(R28=1,R14,U14))</f>
        <v>235</v>
      </c>
      <c r="H31" s="17" t="s">
        <v>4</v>
      </c>
      <c r="I31" s="20"/>
      <c r="J31" s="20"/>
      <c r="K31" s="255"/>
      <c r="L31" s="278"/>
      <c r="M31" s="233"/>
      <c r="N31" s="14" t="s">
        <v>122</v>
      </c>
      <c r="O31" s="8">
        <f>(O30-1)*O33</f>
        <v>470</v>
      </c>
      <c r="P31" s="51" t="s">
        <v>4</v>
      </c>
      <c r="Q31" s="14" t="s">
        <v>221</v>
      </c>
      <c r="R31" s="211">
        <f>I26/16/SIN(PI()/8)-(S5+S6)/4-D34</f>
        <v>990.0770713547322</v>
      </c>
      <c r="T31" s="14" t="s">
        <v>221</v>
      </c>
      <c r="U31" s="211">
        <f>$I26/24/SIN(PI()/12)-($S5+$S6)/4-$D34</f>
        <v>971.57926318635327</v>
      </c>
      <c r="V31" s="117"/>
      <c r="X31" s="38">
        <f>IF(AND(Y$20&lt;=-E$12/2,MIN(-Y$21/Y$20,-Z$21/Z$20)&lt;AA25,MAX(-AA$21/AA$20,-AB$21/AB$20)&gt;-AA25),1,0)</f>
        <v>0</v>
      </c>
      <c r="Y31" s="38">
        <f>IF(AND(AA$21&gt;0,Y$20&lt;0,(-Y$21/Y$20*X25-E$13/2)/Y9&lt;1),1,0)</f>
        <v>0</v>
      </c>
      <c r="Z31" s="38">
        <f>IF(AND(Y$21&gt;0,Y$20&lt;0,(-AB$20/AB$21*Y25-E$12/2)/Y9&lt;1),1,0)</f>
        <v>0</v>
      </c>
      <c r="AA31" s="38">
        <f>IF(AND(Y$21&gt;=E$13/2,MIN(Y$20/Y$21,AA$20/AA$21)&lt;Z25,MAX(Z$20/Z$21,AB$20/AB$21)&gt;-Z25),1,0)</f>
        <v>0</v>
      </c>
      <c r="AB31" s="38">
        <f>IF(AND(AA$21&gt;0,Z$20&gt;0,(AA$20/AA$21*Y25-E$12/2)/Y9&lt;1),1,0)</f>
        <v>0</v>
      </c>
      <c r="AC31" s="38">
        <f>IF(AND(AA$21&gt;0,Z$20&gt;0,(Z$21/Z$20*X25-E$13/2)/Y9&lt;1),1,0)</f>
        <v>0</v>
      </c>
      <c r="AD31" s="38">
        <f>IF(AND(Y$20&gt;=E$12/2,Z$21/Z$20&lt;AA25,AB$21/AB$20&gt;-AA25),1,0)</f>
        <v>0</v>
      </c>
      <c r="AE31" s="38">
        <f>IF(AND(Y$21&lt;0,AB$20&gt;0,(-AB$21/AB$20*X25-E$13/2)/Y9&lt;1),1,0)</f>
        <v>0</v>
      </c>
      <c r="AF31" s="38">
        <f>IF(AND(Y$21&lt;0,AB$20&gt;0,(-Y$20/Y$21*Y25-E$12/2)/Y9&lt;1),1,0)</f>
        <v>0</v>
      </c>
      <c r="AG31" s="38">
        <f>IF(AND(Y$21&lt;=-E$13/2-H$14,MIN(-AA$20/AA$21,-Y$20/Y$21)&lt;Z25,MAX(-AB$20/AB$21,-Z$20/Z$21)&gt;-Z25),1,0)</f>
        <v>0</v>
      </c>
      <c r="AH31" s="38">
        <f>IF(AND(Y$21&lt;0,Y$20&lt;0,(Z$20/Z$21*Y25-E$12/2)/Y9&lt;1),1,0)</f>
        <v>0</v>
      </c>
      <c r="AI31" s="38">
        <f>IF(AND(Y$21&lt;0,Y$20&lt;0,(AA$21/AA$20*X25-E$13/2)/Y9&lt;1),1,0)</f>
        <v>0</v>
      </c>
    </row>
    <row r="32" spans="1:39" ht="15.75">
      <c r="A32" s="226"/>
      <c r="B32" s="279"/>
      <c r="C32" s="292" t="s">
        <v>113</v>
      </c>
      <c r="D32" s="24">
        <f>IF(O28=1,MAX(O10,O15),IF(R28=1,R13,U13))</f>
        <v>5.8671960237339489</v>
      </c>
      <c r="E32" s="255"/>
      <c r="F32" s="486" t="s">
        <v>219</v>
      </c>
      <c r="G32" s="20"/>
      <c r="H32" s="293"/>
      <c r="I32" s="20"/>
      <c r="J32" s="20"/>
      <c r="K32" s="255"/>
      <c r="L32" s="278"/>
      <c r="M32" s="237"/>
      <c r="N32" s="52" t="s">
        <v>134</v>
      </c>
      <c r="O32" s="8">
        <f>IF(O28=1,2*(O18+O19),IF(R28=1,S8,V8))</f>
        <v>8</v>
      </c>
      <c r="P32" s="51" t="s">
        <v>2</v>
      </c>
      <c r="Q32" s="14" t="s">
        <v>222</v>
      </c>
      <c r="R32" s="211">
        <f>I26/AE25/16/SIN(PI()/8)-(S5+S6)/4-D34</f>
        <v>990.0770713547322</v>
      </c>
      <c r="S32" s="2"/>
      <c r="T32" s="14" t="s">
        <v>222</v>
      </c>
      <c r="U32" s="211">
        <f>$I26/AE25/24/SIN(PI()/12)-($S5+$S6)/4-$D34</f>
        <v>971.57926318635327</v>
      </c>
      <c r="V32" s="3"/>
      <c r="W32" s="3"/>
      <c r="X32" s="38">
        <f>IF(AND(Y$20&lt;=-E$12/2,MIN(-Y$21/Y$20,-Z$21/Z$20)&lt;AA26,MAX(-AA$21/AA$20,-AB$21/AB$20)&gt;-AA26),1,0)</f>
        <v>0</v>
      </c>
      <c r="Y32" s="38">
        <f>IF(AND(AA$21&gt;0,Y$20&lt;0,(-Y$21/Y$20*X26-E$13/2)/IF(Y5=0,0.000001,Y5)&lt;1),1,0)</f>
        <v>0</v>
      </c>
      <c r="Z32" s="38">
        <f>IF(AND(Y$21&gt;0,Y$20&lt;0,(-AB$20/AB$21*Y26-E$12/2)/IF(Y5=0,0.000001,Y5)&lt;1),1,0)</f>
        <v>0</v>
      </c>
      <c r="AA32" s="38">
        <f>IF(AND(Y$21&gt;=E$13/2,MIN(Y$20/Y$21,AA$20/AA$21)&lt;Z26,MAX(Z$20/Z$21,AB$20/AB$21)&gt;-Z26),1,0)</f>
        <v>0</v>
      </c>
      <c r="AB32" s="38">
        <f>IF(AND(AA$21&gt;0,Z$20&gt;0,(AA$20/AA$21*Y26-E$12/2)/IF(Y5=0,0.000001,Y5)&lt;1),1,0)</f>
        <v>1</v>
      </c>
      <c r="AC32" s="38">
        <f>IF(AND(AA$21&gt;0,Z$20&gt;0,(Z$21/Z$20*X26-E$13/2)/IF(Y5=0,0.000001,Y5)&lt;1),1,0)</f>
        <v>1</v>
      </c>
      <c r="AD32" s="38">
        <f>IF(AND(Y$20&gt;=E$12/2,Z$21/Z$20&lt;AA26,AB$21/AB$20&gt;-AA26),1,0)</f>
        <v>0</v>
      </c>
      <c r="AE32" s="38">
        <f>IF(AND(Y$21&lt;0,AB$20&gt;0,(-AB$21/AB$20*X26-E$13/2)/IF(Y5=0,0.000001,Y5)&lt;1),1,0)</f>
        <v>0</v>
      </c>
      <c r="AF32" s="38">
        <f>IF(AND(Y$21&lt;0,AB$20&gt;0,(-Y$20/Y$21*Y26-E$12/2)/IF(Y5=0,0.000001,Y5)&lt;1),1,0)</f>
        <v>0</v>
      </c>
      <c r="AG32" s="38">
        <f>IF(AND(Y$21&lt;=-E$13/2-H$14,MIN(-AA$20/AA$21,-Y$20/Y$21)&lt;Z26,MAX(-AB$20/AB$21,-Z$20/Z$21)&gt;-Z26),1,0)</f>
        <v>0</v>
      </c>
      <c r="AH32" s="38">
        <f>IF(AND(Y$21&lt;0,Y$20&lt;0,(Z$20/Z$21*Y26-E$12/2)/IF(Y5=0,0.000001,Y5)&lt;1),1,0)</f>
        <v>0</v>
      </c>
      <c r="AI32" s="38">
        <f>IF(AND(Y$21&lt;0,Y$20&lt;0,(AA$21/AA$20*X26-E$13/2)/IF(Y5=0,0.000001,Y5)&lt;1),1,0)</f>
        <v>0</v>
      </c>
    </row>
    <row r="33" spans="1:35">
      <c r="A33" s="226"/>
      <c r="B33" s="288"/>
      <c r="C33" s="292" t="s">
        <v>112</v>
      </c>
      <c r="D33" s="24">
        <f>IF(O28=1,O20,IF(R28=1,R15,U15))</f>
        <v>6.8446614410126561</v>
      </c>
      <c r="E33" s="17" t="str">
        <f>IF(O28=1,P10,P17)</f>
        <v>mm</v>
      </c>
      <c r="F33" s="249"/>
      <c r="G33" s="20"/>
      <c r="H33" s="290"/>
      <c r="I33" s="20"/>
      <c r="J33" s="20"/>
      <c r="K33" s="255"/>
      <c r="L33" s="278"/>
      <c r="M33" s="617"/>
      <c r="N33" s="52" t="s">
        <v>111</v>
      </c>
      <c r="O33" s="3">
        <f>IF(O28=1,O17,IF(R28=1,R14,U14))</f>
        <v>235</v>
      </c>
      <c r="P33" s="51" t="s">
        <v>4</v>
      </c>
      <c r="Q33" s="212" t="s">
        <v>224</v>
      </c>
      <c r="R33" s="211">
        <f>(8*SQRT(R18^2*(2-1/SQRT(2))+R18*R9/SQRT(2)+R9^2))*IF(R16=R31,1,AE25)</f>
        <v>12092.626387510752</v>
      </c>
      <c r="S33" s="1"/>
      <c r="T33" s="212" t="s">
        <v>224</v>
      </c>
      <c r="U33" s="211">
        <f>12*SQRT(U18^2*(5/4+(COS(PI()/6))^2-2*COS(PI()/6))+U18*U9+U9^2)*IF(U16=U31,1,AE25)</f>
        <v>8138.9401244438923</v>
      </c>
      <c r="V33" s="135"/>
      <c r="W33" s="3"/>
      <c r="X33" s="39">
        <f>IF(AND(Y$20&lt;=-E$12/2,MIN(-Y$21/Y$20,-Z$21/Z$20)&lt;AA27,MAX(-AA$21/AA$20,-AB$21/AB$20)&gt;-AA27),1,0)</f>
        <v>0</v>
      </c>
      <c r="Y33" s="39">
        <f>IF(AND(AA$21&gt;0,Y$20&lt;0,(-Y$21/Y$20*X27-E$13/2)/IF(Y6=0,0.000001,Y6)&lt;1),1,0)</f>
        <v>0</v>
      </c>
      <c r="Z33" s="39">
        <f>IF(AND(Y$21&gt;0,Y$20&lt;0,(-AB$20/AB$21*Y27-E$12/2)/IF(Y6=0,0.000001,Y6)&lt;1),1,0)</f>
        <v>0</v>
      </c>
      <c r="AA33" s="39">
        <f>IF(AND(Y$21&gt;=E$13/2,MIN(Y$20/Y$21,AA$20/AA$21)&lt;Z27,MAX(Z$20/Z$21,AB$20/AB$21)&gt;-Z27),1,0)</f>
        <v>0</v>
      </c>
      <c r="AB33" s="39">
        <f>IF(AND(AA$21&gt;0,Z$20&gt;0,(AA$20/AA$21*Y27-E$12/2)/IF(Y6=0,0.000001,Y6)&lt;1),1,0)</f>
        <v>1</v>
      </c>
      <c r="AC33" s="39">
        <f>IF(AND(AA$21&gt;0,Z$20&gt;0,(Z$21/Z$20*X27-E$13/2)/IF(Y6=0,0.000001,Y6)&lt;1),1,0)</f>
        <v>1</v>
      </c>
      <c r="AD33" s="39">
        <f>IF(AND(Y$20&gt;=E$12/2,Z$21/Z$20&lt;AA27,AB$21/AB$20&gt;-AA27),1,0)</f>
        <v>0</v>
      </c>
      <c r="AE33" s="39">
        <f>IF(AND(Y$21&lt;0,AB$20&gt;0,(-AB$21/AB$20*X27-E$13/2)/IF(Y6=0,0.000001,Y6)&lt;1),1,0)</f>
        <v>0</v>
      </c>
      <c r="AF33" s="39">
        <f>IF(AND(Y$21&lt;0,AB$20&gt;0,(-Y$20/Y$21*Y27-E$12/2)/IF(Y6=0,0.000001,Y6)&lt;1),1,0)</f>
        <v>0</v>
      </c>
      <c r="AG33" s="39">
        <f>IF(AND(Y$21&lt;=-E$13/2-H$14,MIN(-AA$20/AA$21,-Y$20/Y$21)&lt;Z27,MAX(-AB$20/AB$21,-Z$20/Z$21)&gt;-Z27),1,0)</f>
        <v>0</v>
      </c>
      <c r="AH33" s="39">
        <f>IF(AND(Y$21&lt;0,Y$20&lt;0,(Z$20/Z$21*Y27-E$12/2)/IF(Y6=0,0.000001,Y6)&lt;1),1,0)</f>
        <v>0</v>
      </c>
      <c r="AI33" s="39">
        <f>IF(AND(Y$21&lt;0,Y$20&lt;0,(AA$21/AA$20*X27-E$13/2)/IF(Y6=0,0.000001,Y6)&lt;1),1,0)</f>
        <v>0</v>
      </c>
    </row>
    <row r="34" spans="1:35">
      <c r="A34" s="226"/>
      <c r="B34" s="279"/>
      <c r="C34" s="249" t="s">
        <v>120</v>
      </c>
      <c r="D34" s="20">
        <f>FLOOR(G22/2,5)</f>
        <v>155</v>
      </c>
      <c r="E34" s="17" t="s">
        <v>121</v>
      </c>
      <c r="F34" s="249"/>
      <c r="G34" s="20"/>
      <c r="H34" s="17"/>
      <c r="I34" s="20"/>
      <c r="J34" s="20"/>
      <c r="K34" s="257"/>
      <c r="L34" s="278"/>
      <c r="M34" s="618"/>
      <c r="N34" s="14" t="s">
        <v>266</v>
      </c>
      <c r="O34" s="494" t="s">
        <v>267</v>
      </c>
      <c r="Q34" s="14" t="s">
        <v>266</v>
      </c>
      <c r="R34" s="27" t="str">
        <f>FIXED(IF(R20="VALID",R31,R22)+G22/2,0)</f>
        <v>1,075</v>
      </c>
      <c r="S34" s="217"/>
      <c r="T34" s="14" t="s">
        <v>266</v>
      </c>
      <c r="U34" s="27" t="str">
        <f>FIXED(U31+G22/2,0)</f>
        <v>1,131</v>
      </c>
      <c r="W34" s="3"/>
      <c r="X34" s="170">
        <f>X24*(MIN(AA24,AB$22)-MAX(-AA24,Y$22))*X30</f>
        <v>0</v>
      </c>
      <c r="Y34" s="195">
        <f>Y3*Y30*(MAX(0,MIN(PI()/4,ATAN((AB$21/AB$20*-X24-E$13/2)/Y3)))-MAX(0,MIN(PI()/4,ATAN((Y$21/Y$20*-X24-E$13/2)/Y3))))</f>
        <v>0</v>
      </c>
      <c r="Z34" s="195">
        <f>Y3*Z30*(MAX(0,MIN(PI()/4,ATAN((Y$20/Y$21*-Y24-E$12/2)/Y3)))-MAX(0,MIN(PI()/4,ATAN((AB$20/AB$21*-Y24-E$12/2)/Y3))))</f>
        <v>0</v>
      </c>
      <c r="AA34" s="170">
        <f>Y24*(MIN(Z24,MAX(Z$20/Z$21,AB$20/AB$21))-MAX(-Z24,MIN(Y$20/Y$21,AA$20/AA$21)))*AA30</f>
        <v>0</v>
      </c>
      <c r="AB34" s="195">
        <f>Y3*AB30*(MAX(0,MIN(PI()/4,ATAN((Z$20/Z$21*Y24-E$12/2)/Y3)))-MAX(0,MIN(PI()/4,ATAN((AA$20/AA$21*Y24-E$12/2)/Y3))))</f>
        <v>0</v>
      </c>
      <c r="AC34" s="195">
        <f>Y3*AC30*(MAX(0,MIN(PI()/4,ATAN((AA$21/AA$20*X24-E$13/2)/Y3)))-MAX(0,MIN(PI()/4,ATAN((Z$21/Z$20*X24-E$13/2)/Y3))))</f>
        <v>0</v>
      </c>
      <c r="AD34" s="170">
        <f>X24*(MIN(AA24,AB$22)-MAX(-AA24,Y$22))*AD30</f>
        <v>0</v>
      </c>
      <c r="AE34" s="195">
        <f>Y3*AE30*(MAX(0,MIN(PI()/4,ATAN((Y$21/Y$20*-X24-E$13/2)/Y3)))-MAX(0,MIN(PI()/4,ATAN((AB$21/AB$20*-X24-E$13/2)/Y3))))</f>
        <v>0</v>
      </c>
      <c r="AF34" s="195">
        <f>Y3*AF30*(MAX(0,MIN(PI()/4,ATAN((AB$20/AB$21*-Y24-E$12/2)/Y3)))-MAX(0,MIN(PI()/4,ATAN((Y$20/Y$21*-Y24-E$12/2)/Y3))))</f>
        <v>0</v>
      </c>
      <c r="AG34" s="170">
        <f>Y24*(MIN(Z24,MAX(-Z$20/Z$21,-AB$20/AB$21))-MAX(-Z24,MIN(-Y$20/Y$21,-AA$20/AA$21)))*AG30</f>
        <v>0</v>
      </c>
      <c r="AH34" s="195">
        <f>Y3*AH30*(MAX(0,MIN(PI()/4,ATAN((AA$20/AA$21*Y24-E$12/2)/Y3)))-MAX(0,MIN(PI()/4,ATAN((Z$20/Z$21*Y24-E$12/2)/Y3))))</f>
        <v>0</v>
      </c>
      <c r="AI34" s="195">
        <f>Y3*AI30*(MAX(0,MIN(PI()/4,ATAN((Z$21/Z$20*X24-E$13/2)/Y3)))-MAX(0,MIN(PI()/4,ATAN((AA$21/AA$20*X24-E$13/2)/Y3))))</f>
        <v>0</v>
      </c>
    </row>
    <row r="35" spans="1:35" ht="18" customHeight="1">
      <c r="A35" s="226"/>
      <c r="B35" s="279"/>
      <c r="C35" s="249" t="s">
        <v>268</v>
      </c>
      <c r="D35" s="20">
        <f>D34+O31</f>
        <v>625</v>
      </c>
      <c r="E35" s="17" t="s">
        <v>121</v>
      </c>
      <c r="F35" s="249"/>
      <c r="G35" s="20"/>
      <c r="H35" s="17"/>
      <c r="I35" s="20"/>
      <c r="J35" s="20"/>
      <c r="K35" s="257"/>
      <c r="L35" s="278"/>
      <c r="M35" s="712" t="s">
        <v>380</v>
      </c>
      <c r="N35" s="466" t="s">
        <v>41</v>
      </c>
      <c r="O35" s="2"/>
      <c r="Q35" s="1"/>
      <c r="R35" s="5"/>
      <c r="S35" s="1"/>
      <c r="T35" s="216" t="s">
        <v>230</v>
      </c>
      <c r="U35" s="218">
        <f>IF(U20="INVALID",CEILING((1-(G22-U9/2)/(U19/2-U9/2))*(U29-1),1)+1,0)</f>
        <v>0</v>
      </c>
      <c r="V35" s="217" t="s">
        <v>225</v>
      </c>
      <c r="W35" s="3"/>
      <c r="X35" s="170">
        <f>X25*(MIN(AA25,AB$22)-MAX(-AA25,Y$22))*X31</f>
        <v>0</v>
      </c>
      <c r="Y35" s="195">
        <f>Y9*Y31*(MAX(0,MIN(PI()/4,ATAN((AB$21/AB$20*-X25-E$13/2)/Y9)))-MAX(0,MIN(PI()/4,ATAN((Y$21/Y$20*-X25-E$13/2)/Y9))))</f>
        <v>0</v>
      </c>
      <c r="Z35" s="195">
        <f>Y9*Z31*(MAX(0,MIN(PI()/4,ATAN((Y$20/Y$21*-Y25-E$12/2)/Y9)))-MAX(0,MIN(PI()/4,ATAN((AB$20/AB$21*-Y25-E$12/2)/Y9))))</f>
        <v>0</v>
      </c>
      <c r="AA35" s="170">
        <f>Y25*(MIN(Z25,MAX(Z$20/Z$21,AB$20/AB$21))-MAX(-Z25,MIN(Y$20/Y$21,AA$20/AA$21)))*AA31</f>
        <v>0</v>
      </c>
      <c r="AB35" s="195">
        <f>Y9*AB31*(MAX(0,MIN(PI()/4,ATAN((Z$20/Z$21*Y25-E$12/2)/Y9)))-MAX(0,MIN(PI()/4,ATAN((AA$20/AA$21*Y25-E$12/2)/Y9))))</f>
        <v>0</v>
      </c>
      <c r="AC35" s="195">
        <f>Y9*AC31*(MAX(0,MIN(PI()/4,ATAN((AA$21/AA$20*X25-E$13/2)/Y9)))-MAX(0,MIN(PI()/4,ATAN((Z$21/Z$20*X25-E$13/2)/Y9))))</f>
        <v>0</v>
      </c>
      <c r="AD35" s="170">
        <f>X25*(MIN(AA25,AB$22)-MAX(-AA25,Y$22))*AD31</f>
        <v>0</v>
      </c>
      <c r="AE35" s="195">
        <f>Y9*AE31*(MAX(0,MIN(PI()/4,ATAN((Y$21/Y$20*-X25-E$13/2)/Y9)))-MAX(0,MIN(PI()/4,ATAN((AB$21/AB$20*-X25-E$13/2)/Y9))))</f>
        <v>0</v>
      </c>
      <c r="AF35" s="195">
        <f>Y9*AF31*(MAX(0,MIN(PI()/4,ATAN((AB$20/AB$21*-Y25-E$12/2)/Y9)))-MAX(0,MIN(PI()/4,ATAN((Y$20/Y$21*-Y25-E$12/2)/Y9))))</f>
        <v>0</v>
      </c>
      <c r="AG35" s="170">
        <f>Y25*(MIN(Z25,MAX(-Z$20/Z$21,-AB$20/AB$21))-MAX(-Z25,MIN(-Y$20/Y$21,-AA$20/AA$21)))*AG31</f>
        <v>0</v>
      </c>
      <c r="AH35" s="195">
        <f>Y9*AH31*(MAX(0,MIN(PI()/4,ATAN((AA$20/AA$21*Y25-E$12/2)/Y9)))-MAX(0,MIN(PI()/4,ATAN((Z$20/Z$21*Y25-E$12/2)/Y9))))</f>
        <v>0</v>
      </c>
      <c r="AI35" s="195">
        <f>Y9*AI31*(MAX(0,MIN(PI()/4,ATAN((Z$21/Z$20*X25-E$13/2)/Y9)))-MAX(0,MIN(PI()/4,ATAN((AA$21/AA$20*X25-E$13/2)/Y9))))</f>
        <v>0</v>
      </c>
    </row>
    <row r="36" spans="1:35" ht="18">
      <c r="A36" s="226"/>
      <c r="B36" s="279"/>
      <c r="C36" s="249" t="s">
        <v>100</v>
      </c>
      <c r="D36" s="20">
        <f>IF(O28=1,O27,IF(R28=1,R27,U27))</f>
        <v>8249.2779080314613</v>
      </c>
      <c r="E36" s="17" t="str">
        <f>"mm "&amp;IF(I26&gt;D36,"&lt;","&gt;")&amp;" "&amp;FIXED(I26,0)&amp;" mm"</f>
        <v>mm &gt; 7,930 mm</v>
      </c>
      <c r="F36" s="249"/>
      <c r="G36" s="20"/>
      <c r="H36" s="324" t="s">
        <v>241</v>
      </c>
      <c r="I36" s="20"/>
      <c r="J36" s="20"/>
      <c r="K36" s="257"/>
      <c r="L36" s="281"/>
      <c r="M36" s="712"/>
      <c r="N36" s="3">
        <f>IF(M24="√",0,1)</f>
        <v>1</v>
      </c>
      <c r="O36" s="704" t="str">
        <f>IF(N36=1,"Size &gt; 4d. ","")</f>
        <v xml:space="preserve">Size &gt; 4d. </v>
      </c>
      <c r="P36" s="624" t="s">
        <v>381</v>
      </c>
      <c r="Q36" s="5">
        <f>IF(AND(MAX(E12:E13)&gt;3.975*G22,MAX(E12:E13)&lt;=4*G22),1,0)</f>
        <v>0</v>
      </c>
      <c r="R36" s="34"/>
      <c r="S36" s="120"/>
      <c r="T36" s="212"/>
      <c r="U36" s="1"/>
      <c r="V36" s="1"/>
      <c r="W36" s="3"/>
      <c r="X36" s="170">
        <f>X26*(MIN(AA26,AB$22)-MAX(-AA26,Y$22))*X32</f>
        <v>0</v>
      </c>
      <c r="Y36" s="195">
        <f>Y5*Y32*(MAX(0,MIN(PI()/4,ATAN((AB$21/AB$20*-X26-E$13/2)/IF(Y5=0,0.000001,Y5))))-MAX(0,MIN(PI()/4,ATAN((Y$21/Y$20*-X26-E$13/2)/IF(Y5=0,0.000001,Y5)))))</f>
        <v>0</v>
      </c>
      <c r="Z36" s="195">
        <f>Y5*Z32*(MAX(0,MIN(PI()/4,ATAN((Y$20/Y$21*-Y26-E$12/2)/IF(Y5=0,0.000001,Y5))))-MAX(0,MIN(PI()/4,ATAN((AB$20/AB$21*-Y26-E$12/2)/IF(Y5=0,0.000001,Y5)))))</f>
        <v>0</v>
      </c>
      <c r="AA36" s="170">
        <f>Y26*(MIN(Z26,MAX(Z$20/Z$21,AB$20/AB$21))-MAX(-Z26,MIN(Y$20/Y$21,AA$20/AA$21)))*AA32</f>
        <v>0</v>
      </c>
      <c r="AB36" s="195">
        <f>Y5*AB32*(MAX(0,MIN(PI()/4,ATAN((Z$20/Z$21*Y26-E$12/2)/IF(Y5=0,0.000001,Y5))))-MAX(0,MIN(PI()/4,ATAN((AA$20/AA$21*Y26-E$12/2)/IF(Y5=0,0.000001,Y5)))))</f>
        <v>0</v>
      </c>
      <c r="AC36" s="195">
        <f>Y5*AC32*(MAX(0,MIN(PI()/4,ATAN((AA$21/AA$20*X26-E$13/2)/IF(Y5=0,0.000001,Y5))))-MAX(0,MIN(PI()/4,ATAN((Z$21/Z$20*X26-E$13/2)/IF(Y5=0,0.000001,Y5)))))</f>
        <v>0</v>
      </c>
      <c r="AD36" s="170">
        <f>X26*(MIN(AA26,AB$22)-MAX(-AA26,Y$22))*AD32</f>
        <v>0</v>
      </c>
      <c r="AE36" s="195">
        <f>Y5*AE32*(MAX(0,MIN(PI()/4,ATAN((Y$21/Y$20*-X26-E$13/2)/IF(Y5=0,0.000001,Y5))))-MAX(0,MIN(PI()/4,ATAN((AB$21/AB$20*-X26-E$13/2)/IF(Y5=0,0.000001,Y5)))))</f>
        <v>0</v>
      </c>
      <c r="AF36" s="195">
        <f>Y5*AF32*(MAX(0,MIN(PI()/4,ATAN((AB$20/AB$21*-Y26-E$12/2)/IF(Y5=0,0.000001,Y5))))-MAX(0,MIN(PI()/4,ATAN((Y$20/Y$21*-Y26-E$12/2)/IF(Y5=0,0.000001,Y5)))))</f>
        <v>0</v>
      </c>
      <c r="AG36" s="170">
        <f>Y26*(MIN(Z26,MAX(-Z$20/Z$21,-AB$20/AB$21))-MAX(-Z26,MIN(-Y$20/Y$21,-AA$20/AA$21)))*AG32</f>
        <v>0</v>
      </c>
      <c r="AH36" s="195">
        <f>Y5*AH32*(MAX(0,MIN(PI()/4,ATAN((AA$20/AA$21*Y26-E$12/2)/IF(Y5=0,0.000001,Y5))))-MAX(0,MIN(PI()/4,ATAN((Z$20/Z$21*Y26-E$12/2)/IF(Y5=0,0.000001,Y5)))))</f>
        <v>0</v>
      </c>
      <c r="AI36" s="195">
        <f>Y5*AI32*(MAX(0,MIN(PI()/4,ATAN((Z$21/Z$20*X26-E$13/2)/IF(Y5=0,0.000001,Y5))))-MAX(0,MIN(PI()/4,ATAN((AA$21/AA$20*X26-E$13/2)/IF(Y5=0,0.000001,Y5)))))</f>
        <v>0</v>
      </c>
    </row>
    <row r="37" spans="1:35" ht="18">
      <c r="A37" s="226"/>
      <c r="B37" s="495" t="s">
        <v>161</v>
      </c>
      <c r="C37" s="487"/>
      <c r="D37" s="255"/>
      <c r="E37" s="255"/>
      <c r="F37" s="255"/>
      <c r="G37" s="255"/>
      <c r="H37" s="324" t="s">
        <v>240</v>
      </c>
      <c r="I37" s="20"/>
      <c r="J37" s="20"/>
      <c r="K37" s="257"/>
      <c r="L37" s="281"/>
      <c r="M37" s="712"/>
      <c r="N37" s="3">
        <f>IF(M26="√",0,1)</f>
        <v>0</v>
      </c>
      <c r="O37" s="704" t="str">
        <f>IF(N37=1,"VRd,max. ","")</f>
        <v/>
      </c>
      <c r="P37" s="2"/>
      <c r="Q37" s="1"/>
      <c r="R37" s="122"/>
      <c r="S37" s="121"/>
      <c r="T37" s="121"/>
      <c r="U37" s="1"/>
      <c r="V37" s="1"/>
      <c r="W37" s="3"/>
      <c r="X37" s="171">
        <f>X27*(MIN(AA27,AB$22)-MAX(-AA27,Y$22))*X33</f>
        <v>0</v>
      </c>
      <c r="Y37" s="200">
        <f>Y6*Y33*(MAX(0,MIN(PI()/4,ATAN((AB$21/AB$20*-X27-E$13/2)/IF(Y6=0,0.000001,Y6))))-MAX(0,MIN(PI()/4,ATAN((Y$21/Y$20*-X27-E$13/2)/IF(Y6=0,0.000001,Y6)))))</f>
        <v>0</v>
      </c>
      <c r="Z37" s="200">
        <f>Y6*Z33*(MAX(0,MIN(PI()/4,ATAN((Y$20/Y$21*-Y27-E$12/2)/IF(Y6=0,0.000001,Y6))))-MAX(0,MIN(PI()/4,ATAN((AB$20/AB$21*-Y27-E$12/2)/IF(Y6=0,0.000001,Y6)))))</f>
        <v>0</v>
      </c>
      <c r="AA37" s="171">
        <f>Y27*(MIN(Z27,MAX(Z$20/Z$21,AB$20/AB$21))-MAX(-Z27,MIN(Y$20/Y$21,AA$20/AA$21)))*AA33</f>
        <v>0</v>
      </c>
      <c r="AB37" s="200">
        <f>Y6*AB33*(MAX(0,MIN(PI()/4,ATAN((Z$20/Z$21*Y27-E$12/2)/IF(Y6=0,0.000001,Y6))))-MAX(0,MIN(PI()/4,ATAN((AA$20/AA$21*Y27-E$12/2)/IF(Y6=0,0.000001,Y6)))))</f>
        <v>0</v>
      </c>
      <c r="AC37" s="200">
        <f>Y6*AC33*(MAX(0,MIN(PI()/4,ATAN((AA$21/AA$20*X27-E$13/2)/IF(Y6=0,0.000001,Y6))))-MAX(0,MIN(PI()/4,ATAN((Z$21/Z$20*X27-E$13/2)/IF(Y6=0,0.000001,Y6)))))</f>
        <v>0</v>
      </c>
      <c r="AD37" s="171">
        <f>X27*(MIN(AA27,AB$22)-MAX(-AA27,Y$22))*AD33</f>
        <v>0</v>
      </c>
      <c r="AE37" s="200">
        <f>Y6*AE33*(MAX(0,MIN(PI()/4,ATAN((Y$21/Y$20*-X27-E$13/2)/IF(Y6=0,0.000001,Y6))))-MAX(0,MIN(PI()/4,ATAN((AB$21/AB$20*-X27-E$13/2)/IF(Y6=0,0.000001,Y6)))))</f>
        <v>0</v>
      </c>
      <c r="AF37" s="200">
        <f>Y6*AF33*(MAX(0,MIN(PI()/4,ATAN((AB$20/AB$21*-Y27-E$12/2)/IF(Y6=0,0.000001,Y6))))-MAX(0,MIN(PI()/4,ATAN((Y$20/Y$21*-Y27-E$12/2)/IF(Y6=0,0.000001,Y6)))))</f>
        <v>0</v>
      </c>
      <c r="AG37" s="171">
        <f>Y27*(MIN(Z27,MAX(-Z$20/Z$21,-AB$20/AB$21))-MAX(-Z27,MIN(-Y$20/Y$21,-AA$20/AA$21)))*AG33</f>
        <v>0</v>
      </c>
      <c r="AH37" s="200">
        <f>Y6*AH33*(MAX(0,MIN(PI()/4,ATAN((AA$20/AA$21*Y27-E$12/2)/IF(Y6=0,0.000001,Y6))))-MAX(0,MIN(PI()/4,ATAN((Z$20/Z$21*Y27-E$12/2)/IF(Y6=0,0.000001,Y6)))))</f>
        <v>0</v>
      </c>
      <c r="AI37" s="200">
        <f>Y6*AI33*(MAX(0,MIN(PI()/4,ATAN((Z$21/Z$20*X27-E$13/2)/IF(Y6=0,0.000001,Y6))))-MAX(0,MIN(PI()/4,ATAN((AA$21/AA$20*X27-E$13/2)/IF(Y6=0,0.000001,Y6)))))</f>
        <v>0</v>
      </c>
    </row>
    <row r="38" spans="1:35" ht="16.5" thickBot="1">
      <c r="A38" s="226"/>
      <c r="B38" s="496" t="s">
        <v>146</v>
      </c>
      <c r="C38" s="295"/>
      <c r="D38" s="296"/>
      <c r="E38" s="296"/>
      <c r="F38" s="296"/>
      <c r="G38" s="296"/>
      <c r="H38" s="296"/>
      <c r="I38" s="296"/>
      <c r="J38" s="296"/>
      <c r="K38" s="296"/>
      <c r="L38" s="297"/>
      <c r="M38" s="233"/>
      <c r="N38" s="3">
        <f>IF(O28+R28+U28=0,1,0)</f>
        <v>0</v>
      </c>
      <c r="O38" s="704" t="str">
        <f>IF(N38=1,"&gt; "&amp;V8&amp;" spurs ","")</f>
        <v/>
      </c>
      <c r="P38" s="2"/>
      <c r="Q38" s="1"/>
      <c r="R38" s="5"/>
      <c r="S38" s="1"/>
      <c r="T38" s="1"/>
      <c r="U38" s="1"/>
      <c r="V38" s="1"/>
      <c r="W38" s="1"/>
      <c r="X38" s="1"/>
      <c r="Y38" s="1"/>
      <c r="Z38" s="1"/>
      <c r="AA38" s="118"/>
      <c r="AB38" s="2"/>
      <c r="AC38" s="2"/>
    </row>
    <row r="39" spans="1:35" ht="15.75">
      <c r="A39" s="83"/>
      <c r="B39" s="83"/>
      <c r="C39" s="77"/>
      <c r="D39" s="77"/>
      <c r="E39" s="83"/>
      <c r="F39" s="83"/>
      <c r="G39" s="83"/>
      <c r="H39" s="83"/>
      <c r="I39" s="83"/>
      <c r="J39" s="83"/>
      <c r="K39" s="83"/>
      <c r="L39" s="83"/>
      <c r="M39" s="233"/>
      <c r="N39" s="3">
        <f>IF(K25&gt;1,1,0)</f>
        <v>0</v>
      </c>
      <c r="O39" s="704" t="str">
        <f>IF(N39=1,"VEd/VRdc &gt; "&amp;Refs!D13,"")</f>
        <v/>
      </c>
      <c r="P39" s="2"/>
      <c r="Q39" s="123"/>
      <c r="S39" s="2"/>
      <c r="T39" s="1"/>
      <c r="U39" s="5"/>
      <c r="V39" s="3"/>
      <c r="W39" s="2"/>
      <c r="X39" s="2"/>
      <c r="Y39" s="2"/>
      <c r="Z39" s="52"/>
      <c r="AA39" s="119"/>
      <c r="AB39" s="2"/>
      <c r="AC39" s="2"/>
    </row>
    <row r="40" spans="1:35" ht="16.5" thickBot="1">
      <c r="A40" s="83"/>
      <c r="N40" s="12">
        <f>SUM(N37:N39)</f>
        <v>0</v>
      </c>
      <c r="O40" s="704"/>
      <c r="U40" s="5"/>
      <c r="V40" s="2"/>
      <c r="W40" s="2"/>
      <c r="X40" s="2"/>
      <c r="Y40" s="2"/>
      <c r="Z40" s="2"/>
      <c r="AA40" s="2"/>
      <c r="AB40" s="2"/>
      <c r="AC40" s="2"/>
    </row>
    <row r="41" spans="1:35" ht="19.5">
      <c r="B41" s="520" t="s">
        <v>299</v>
      </c>
      <c r="C41" s="521" t="s">
        <v>300</v>
      </c>
      <c r="D41" s="522">
        <f>Z3</f>
        <v>5196.1058553662169</v>
      </c>
      <c r="E41" s="523"/>
      <c r="F41" s="521"/>
      <c r="G41" s="523"/>
      <c r="H41" s="523"/>
      <c r="I41" s="523"/>
      <c r="J41" s="524"/>
      <c r="O41" s="3"/>
      <c r="P41" s="2"/>
      <c r="Q41" s="3"/>
      <c r="R41" s="3"/>
      <c r="S41" s="2"/>
      <c r="T41" s="1"/>
      <c r="U41" s="5"/>
      <c r="V41" s="5"/>
      <c r="W41" s="2"/>
      <c r="X41" s="2"/>
      <c r="Y41" s="2"/>
      <c r="Z41" s="2"/>
      <c r="AA41" s="2"/>
      <c r="AB41" s="2"/>
      <c r="AC41" s="2"/>
    </row>
    <row r="42" spans="1:35" ht="19.5">
      <c r="B42" s="628" t="s">
        <v>301</v>
      </c>
      <c r="C42" s="708">
        <f>E13^2/2+E13*E12+4*E12*G22+16*G22^2+2*PI()*G22*E13</f>
        <v>2733999.8783049323</v>
      </c>
      <c r="D42" s="708"/>
      <c r="E42" s="525" t="s">
        <v>311</v>
      </c>
      <c r="F42" s="519">
        <f>E13/E12</f>
        <v>1</v>
      </c>
      <c r="G42" s="525" t="s">
        <v>310</v>
      </c>
      <c r="H42" s="519">
        <f>IF(F42&lt;1,MAX(0.45,0.45+0.15*(F42-0.5)/0.5),MIN(0.8,0.6+0.2*(F42-1)/2))</f>
        <v>0.6</v>
      </c>
      <c r="I42" s="525" t="s">
        <v>307</v>
      </c>
      <c r="J42" s="527">
        <f>1+H42*1000*H16/E$16*D$41/C42</f>
        <v>1.5772923276595163</v>
      </c>
      <c r="N42" s="545" t="s">
        <v>94</v>
      </c>
      <c r="O42" s="606" t="s">
        <v>95</v>
      </c>
      <c r="P42" s="10" t="s">
        <v>96</v>
      </c>
      <c r="Q42" s="3"/>
      <c r="R42" s="3"/>
      <c r="S42" s="2"/>
      <c r="T42" s="2"/>
      <c r="U42" s="2"/>
      <c r="V42" s="2"/>
      <c r="W42" s="2"/>
      <c r="X42" s="2"/>
      <c r="Y42" s="2"/>
      <c r="Z42" s="2"/>
      <c r="AA42" s="2"/>
      <c r="AB42" s="2"/>
      <c r="AC42" s="2"/>
    </row>
    <row r="43" spans="1:35" ht="19.5">
      <c r="B43" s="628" t="s">
        <v>302</v>
      </c>
      <c r="C43" s="708">
        <f>E12^2/2+E12*E13+4*E13*G22+16*G22^2+2*PI()*G22*E12</f>
        <v>2733999.8783049323</v>
      </c>
      <c r="D43" s="708"/>
      <c r="E43" s="525" t="s">
        <v>311</v>
      </c>
      <c r="F43" s="519">
        <f>1/F42</f>
        <v>1</v>
      </c>
      <c r="G43" s="525" t="s">
        <v>309</v>
      </c>
      <c r="H43" s="519">
        <f>IF(F43&lt;1,MAX(0.45,0.45+0.15*(F43-0.5)/0.5),MIN(0.8,0.6+0.2*(F43-1)/2))</f>
        <v>0.6</v>
      </c>
      <c r="I43" s="525" t="s">
        <v>308</v>
      </c>
      <c r="J43" s="527">
        <f>1+H43*1000*H17/E$16*D$41/C43</f>
        <v>1.0101815225336774</v>
      </c>
      <c r="N43" s="546">
        <v>4</v>
      </c>
      <c r="O43" s="66">
        <f>I$26/N43-3*G$22</f>
        <v>1028.4181553734288</v>
      </c>
      <c r="P43" s="607" t="str">
        <f>IF(OR(O43&gt;2*G22,O43&lt;1),"N","Y")</f>
        <v>N</v>
      </c>
      <c r="Q43" s="3"/>
      <c r="R43" s="3"/>
      <c r="S43" s="2"/>
      <c r="T43" s="2"/>
      <c r="W43" s="2"/>
      <c r="X43" s="2"/>
      <c r="Y43" s="2"/>
      <c r="Z43" s="2"/>
      <c r="AA43" s="2"/>
      <c r="AB43" s="2"/>
      <c r="AC43" s="2"/>
    </row>
    <row r="44" spans="1:35" ht="15.75" thickBot="1">
      <c r="B44" s="528"/>
      <c r="C44" s="529"/>
      <c r="D44" s="530"/>
      <c r="E44" s="531"/>
      <c r="F44" s="529"/>
      <c r="G44" s="531"/>
      <c r="H44" s="531"/>
      <c r="I44" s="529" t="s">
        <v>312</v>
      </c>
      <c r="J44" s="532">
        <f>1+1.8*SQRT((1000*H17/E16/(E13+4*G22))^2+(1000*H16/E16/(E12+4*G22))^2)</f>
        <v>1.5797657203160731</v>
      </c>
      <c r="L44" s="99"/>
      <c r="N44" s="546">
        <v>8</v>
      </c>
      <c r="O44" s="66">
        <f>I$26/N44-3*G$22</f>
        <v>37.209077686714409</v>
      </c>
      <c r="P44" s="607"/>
      <c r="Q44" s="8"/>
      <c r="W44" s="2"/>
      <c r="X44" s="2"/>
      <c r="Y44" s="2"/>
      <c r="Z44" s="2"/>
      <c r="AA44" s="2"/>
      <c r="AB44" s="2"/>
      <c r="AC44" s="2"/>
    </row>
    <row r="45" spans="1:35">
      <c r="C45" s="14"/>
      <c r="D45" s="517"/>
      <c r="F45" s="14"/>
      <c r="N45" s="546">
        <v>12</v>
      </c>
      <c r="O45" s="66">
        <f>I$26/N45-3*G$22</f>
        <v>-293.19394820885702</v>
      </c>
      <c r="P45" s="608"/>
      <c r="Q45" s="8"/>
      <c r="U45" s="2"/>
      <c r="V45" s="2"/>
      <c r="W45" s="2"/>
      <c r="X45" s="2"/>
      <c r="Y45" s="2"/>
      <c r="Z45" s="2"/>
      <c r="AA45" s="2"/>
      <c r="AB45" s="2"/>
      <c r="AC45" s="2"/>
    </row>
    <row r="46" spans="1:35">
      <c r="C46" s="14"/>
      <c r="D46" s="517"/>
      <c r="F46" s="14"/>
      <c r="N46" s="547">
        <v>16</v>
      </c>
      <c r="O46" s="150">
        <f>I$26/N46-3*G$22</f>
        <v>-458.3954611566428</v>
      </c>
      <c r="P46" s="28"/>
      <c r="Q46" s="2"/>
      <c r="R46" s="2"/>
      <c r="S46" s="2"/>
      <c r="T46" s="2"/>
      <c r="U46" s="2"/>
      <c r="V46" s="2"/>
      <c r="W46" s="2"/>
      <c r="X46" s="2"/>
      <c r="Y46" s="2"/>
      <c r="Z46" s="2"/>
      <c r="AA46" s="2"/>
      <c r="AB46" s="2"/>
      <c r="AC46" s="2"/>
    </row>
    <row r="47" spans="1:35">
      <c r="C47" s="14"/>
      <c r="D47" s="517"/>
      <c r="N47" s="2"/>
      <c r="O47" s="2"/>
      <c r="P47" s="2"/>
      <c r="Q47" s="2"/>
      <c r="R47" s="2"/>
      <c r="S47" s="2"/>
      <c r="T47" s="2"/>
      <c r="U47" s="2"/>
      <c r="V47" s="2"/>
      <c r="W47" s="2"/>
      <c r="X47" s="2"/>
      <c r="Y47" s="2"/>
      <c r="Z47" s="2"/>
      <c r="AA47" s="2"/>
      <c r="AB47" s="2"/>
      <c r="AC47" s="2"/>
    </row>
    <row r="48" spans="1:35" ht="16.5" customHeight="1">
      <c r="B48" s="19"/>
      <c r="C48" s="14"/>
      <c r="D48" s="517"/>
      <c r="N48" s="239" t="s">
        <v>389</v>
      </c>
      <c r="O48" s="50"/>
      <c r="P48" s="50"/>
      <c r="Q48" s="50"/>
      <c r="R48" s="709" t="s">
        <v>395</v>
      </c>
      <c r="S48" s="709"/>
      <c r="T48" s="2"/>
      <c r="U48" s="2"/>
      <c r="V48" s="2"/>
      <c r="W48" s="2"/>
      <c r="X48" s="2"/>
      <c r="Y48" s="2"/>
      <c r="Z48" s="2"/>
      <c r="AA48" s="2"/>
      <c r="AB48" s="2"/>
      <c r="AC48" s="2"/>
    </row>
    <row r="49" spans="14:29" ht="16.5" customHeight="1">
      <c r="N49" s="630">
        <f>IF(OR(N59=R59,P59=R59),N55,O55)</f>
        <v>0</v>
      </c>
      <c r="O49" s="631">
        <v>0</v>
      </c>
      <c r="P49" s="631">
        <f>IF(OR(N59=S59,P59=S59),N55,O55)</f>
        <v>0</v>
      </c>
      <c r="Q49" s="710" t="s">
        <v>390</v>
      </c>
      <c r="R49" s="643" t="s">
        <v>394</v>
      </c>
      <c r="S49" s="644" t="s">
        <v>393</v>
      </c>
      <c r="T49" s="2"/>
      <c r="U49" s="2"/>
      <c r="V49" s="2"/>
      <c r="W49" s="2"/>
      <c r="X49" s="2"/>
      <c r="Y49" s="2"/>
      <c r="Z49" s="2"/>
      <c r="AA49" s="2"/>
      <c r="AB49" s="2"/>
      <c r="AC49" s="2"/>
    </row>
    <row r="50" spans="14:29" ht="16.5" customHeight="1">
      <c r="N50" s="633">
        <f>IF(OR(N59=R59,O59=R59),N56,P56)</f>
        <v>0</v>
      </c>
      <c r="O50" s="634">
        <v>0</v>
      </c>
      <c r="P50" s="634">
        <f>IF(OR(N59=S59,O59=S59),N56,P56)</f>
        <v>0</v>
      </c>
      <c r="Q50" s="711"/>
      <c r="R50" s="645">
        <f>(E$12+2*Y3)/E$13</f>
        <v>5.24</v>
      </c>
      <c r="S50" s="646">
        <f>(E$13+2*Y3)/E$12</f>
        <v>5.24</v>
      </c>
      <c r="T50" s="2"/>
      <c r="U50" s="2"/>
      <c r="V50" s="2"/>
      <c r="W50" s="2"/>
      <c r="X50" s="2"/>
      <c r="Y50" s="2"/>
      <c r="Z50" s="2"/>
      <c r="AA50" s="2"/>
      <c r="AB50" s="2"/>
      <c r="AC50" s="2"/>
    </row>
    <row r="51" spans="14:29" ht="16.5" customHeight="1">
      <c r="N51" s="639">
        <f>MAX(0.000001,IF(N50=0,0,ABS(N49/N50)))</f>
        <v>9.9999999999999995E-7</v>
      </c>
      <c r="O51" s="640"/>
      <c r="P51" s="641">
        <f>MAX(0.000001,IF(P50=0,0,ABS(P49/P50)))</f>
        <v>9.9999999999999995E-7</v>
      </c>
      <c r="Q51" s="642" t="s">
        <v>392</v>
      </c>
      <c r="R51" s="645">
        <f>(E$12+2*Y4)/E$13</f>
        <v>8.1404044206727892</v>
      </c>
      <c r="S51" s="646">
        <f>(E$13+2*Y4)/E$12</f>
        <v>8.1404044206727892</v>
      </c>
      <c r="T51" s="2"/>
      <c r="U51" s="2"/>
      <c r="V51" s="2"/>
      <c r="W51" s="2"/>
      <c r="X51" s="2"/>
      <c r="Y51" s="2"/>
      <c r="Z51" s="2"/>
      <c r="AA51" s="2"/>
      <c r="AB51" s="2"/>
      <c r="AC51" s="2"/>
    </row>
    <row r="52" spans="14:29" ht="18" customHeight="1">
      <c r="N52" s="633">
        <f t="shared" ref="N52:P53" si="0">$E12/2+N49</f>
        <v>150</v>
      </c>
      <c r="O52" s="634">
        <f t="shared" si="0"/>
        <v>150</v>
      </c>
      <c r="P52" s="635">
        <f t="shared" si="0"/>
        <v>150</v>
      </c>
      <c r="Q52" s="710" t="s">
        <v>391</v>
      </c>
      <c r="R52" s="645">
        <f>(E$12+2*Y5)/E$13</f>
        <v>1.0000000000006666</v>
      </c>
      <c r="S52" s="646">
        <f>(E$13+2*Y5)/E$12</f>
        <v>1.0000000000006666</v>
      </c>
      <c r="T52" s="2"/>
      <c r="U52" s="2"/>
      <c r="V52" s="2"/>
      <c r="W52" s="2"/>
      <c r="X52" s="2"/>
      <c r="Y52" s="2"/>
      <c r="Z52" s="2"/>
      <c r="AA52" s="2"/>
      <c r="AB52" s="2"/>
      <c r="AC52" s="2"/>
    </row>
    <row r="53" spans="14:29" ht="18" customHeight="1">
      <c r="N53" s="636">
        <f t="shared" si="0"/>
        <v>150</v>
      </c>
      <c r="O53" s="637">
        <f t="shared" si="0"/>
        <v>150</v>
      </c>
      <c r="P53" s="638">
        <f t="shared" si="0"/>
        <v>150</v>
      </c>
      <c r="Q53" s="711"/>
      <c r="R53" s="647">
        <f>(E$12+2*Y6)/E$13</f>
        <v>1</v>
      </c>
      <c r="S53" s="648">
        <f>(E$13+2*Y6)/E$12</f>
        <v>1</v>
      </c>
      <c r="T53" s="2"/>
      <c r="U53" s="2"/>
      <c r="V53" s="2"/>
      <c r="W53" s="2"/>
      <c r="X53" s="2"/>
      <c r="Y53" s="2"/>
      <c r="Z53" s="2"/>
      <c r="AA53" s="2"/>
      <c r="AB53" s="2"/>
      <c r="AC53" s="2"/>
    </row>
    <row r="54" spans="14:29">
      <c r="N54" s="153" t="s">
        <v>181</v>
      </c>
      <c r="O54" s="154" t="s">
        <v>182</v>
      </c>
      <c r="P54" s="154" t="s">
        <v>183</v>
      </c>
      <c r="Q54" s="155" t="s">
        <v>184</v>
      </c>
      <c r="R54" s="2"/>
      <c r="S54" s="2"/>
      <c r="T54" s="2"/>
      <c r="U54" s="2"/>
      <c r="V54" s="2"/>
      <c r="W54" s="2"/>
      <c r="X54" s="2"/>
      <c r="Y54" s="2"/>
      <c r="Z54" s="2"/>
      <c r="AA54" s="2"/>
      <c r="AB54" s="2"/>
      <c r="AC54" s="2"/>
    </row>
    <row r="55" spans="14:29">
      <c r="N55" s="71">
        <f>H12</f>
        <v>0</v>
      </c>
      <c r="O55" s="67">
        <f>N55+H14</f>
        <v>0</v>
      </c>
      <c r="P55" s="67">
        <f>N55</f>
        <v>0</v>
      </c>
      <c r="Q55" s="68">
        <f>O55</f>
        <v>0</v>
      </c>
      <c r="R55" s="2"/>
      <c r="S55" s="2"/>
      <c r="T55" s="2"/>
      <c r="U55" s="2"/>
      <c r="V55" s="2"/>
      <c r="W55" s="2"/>
      <c r="X55" s="2"/>
      <c r="Y55" s="2"/>
      <c r="Z55" s="2"/>
      <c r="AA55" s="2"/>
      <c r="AB55" s="2"/>
      <c r="AC55" s="2"/>
    </row>
    <row r="56" spans="14:29">
      <c r="N56" s="72">
        <f>H13</f>
        <v>0</v>
      </c>
      <c r="O56" s="69">
        <f>N56</f>
        <v>0</v>
      </c>
      <c r="P56" s="69">
        <f>N56+E14</f>
        <v>0</v>
      </c>
      <c r="Q56" s="70">
        <f>P56</f>
        <v>0</v>
      </c>
      <c r="R56" s="654" t="s">
        <v>396</v>
      </c>
      <c r="S56" s="654" t="s">
        <v>397</v>
      </c>
      <c r="T56" s="2"/>
      <c r="U56" s="2"/>
      <c r="V56" s="2"/>
      <c r="W56" s="2"/>
      <c r="X56" s="2"/>
      <c r="Y56" s="2"/>
      <c r="Z56" s="2"/>
      <c r="AA56" s="2"/>
      <c r="AB56" s="2"/>
      <c r="AC56" s="2"/>
    </row>
    <row r="57" spans="14:29">
      <c r="N57" s="657">
        <f>IF(N56=0,0,N55/N56)</f>
        <v>0</v>
      </c>
      <c r="O57" s="658">
        <f>IF(O56=0,0,O55/O56)</f>
        <v>0</v>
      </c>
      <c r="P57" s="658">
        <f>IF(P56=0,0,P55/P56)</f>
        <v>0</v>
      </c>
      <c r="Q57" s="659">
        <f>IF(Q56=0,0,Q55/Q56)</f>
        <v>0</v>
      </c>
      <c r="R57" s="655">
        <f>MIN(N57:Q57)</f>
        <v>0</v>
      </c>
      <c r="S57" s="655">
        <f>MAX(N57:Q57)</f>
        <v>0</v>
      </c>
      <c r="U57" s="2"/>
      <c r="V57" s="2"/>
      <c r="W57" s="2"/>
      <c r="X57" s="2"/>
      <c r="Y57" s="2"/>
      <c r="Z57" s="2"/>
      <c r="AA57" s="2"/>
      <c r="AB57" s="2"/>
      <c r="AC57" s="2"/>
    </row>
    <row r="58" spans="14:29">
      <c r="N58" s="660">
        <f>IF(N55=0,0,N56/N55)</f>
        <v>0</v>
      </c>
      <c r="O58" s="661">
        <f>IF(O55=0,0,O56/O55)</f>
        <v>0</v>
      </c>
      <c r="P58" s="661">
        <f>IF(P55=0,0,P56/P55)</f>
        <v>0</v>
      </c>
      <c r="Q58" s="662">
        <f>IF(Q55=0,0,Q56/Q55)</f>
        <v>0</v>
      </c>
      <c r="R58" s="655">
        <f>MIN(N58:Q58)</f>
        <v>0</v>
      </c>
      <c r="S58" s="655">
        <f>MAX(N58:Q58)</f>
        <v>0</v>
      </c>
      <c r="U58" s="2"/>
      <c r="V58" s="2"/>
      <c r="W58" s="2"/>
      <c r="X58" s="2"/>
      <c r="Y58" s="2"/>
      <c r="Z58" s="2"/>
      <c r="AA58" s="2"/>
      <c r="AB58" s="2"/>
      <c r="AC58" s="2"/>
    </row>
    <row r="59" spans="14:29">
      <c r="N59" s="639">
        <f t="shared" ref="N59:S59" si="1">IF($R60&gt;0,N58,N57)</f>
        <v>0</v>
      </c>
      <c r="O59" s="641">
        <f t="shared" si="1"/>
        <v>0</v>
      </c>
      <c r="P59" s="641">
        <f t="shared" si="1"/>
        <v>0</v>
      </c>
      <c r="Q59" s="653">
        <f t="shared" si="1"/>
        <v>0</v>
      </c>
      <c r="R59" s="663">
        <f t="shared" si="1"/>
        <v>0</v>
      </c>
      <c r="S59" s="663">
        <f t="shared" si="1"/>
        <v>0</v>
      </c>
      <c r="T59" s="134" t="s">
        <v>400</v>
      </c>
      <c r="U59" s="2"/>
      <c r="V59" s="2"/>
      <c r="W59" s="2"/>
      <c r="X59" s="2"/>
      <c r="Y59" s="2"/>
      <c r="Z59" s="2"/>
      <c r="AA59" s="2"/>
      <c r="AB59" s="2"/>
      <c r="AC59" s="2"/>
    </row>
    <row r="60" spans="14:29" ht="15.75">
      <c r="N60" s="212" t="s">
        <v>398</v>
      </c>
      <c r="O60" s="652">
        <f>IF(H12&gt;0,1,0)</f>
        <v>0</v>
      </c>
      <c r="P60" s="133" t="s">
        <v>399</v>
      </c>
      <c r="Q60" s="19">
        <f>IF(H12&lt;-H14,1,0)</f>
        <v>0</v>
      </c>
      <c r="R60" s="656">
        <f>O60+Q60</f>
        <v>0</v>
      </c>
      <c r="U60" s="2"/>
      <c r="V60" s="2"/>
      <c r="W60" s="2"/>
      <c r="X60" s="2"/>
      <c r="Y60" s="2"/>
      <c r="Z60" s="2"/>
      <c r="AA60" s="2"/>
      <c r="AB60" s="2"/>
      <c r="AC60" s="2"/>
    </row>
    <row r="61" spans="14:29">
      <c r="N61" s="2"/>
      <c r="O61" s="2"/>
      <c r="P61" s="2"/>
      <c r="Q61" s="2"/>
      <c r="R61" s="2"/>
      <c r="S61" s="2"/>
      <c r="T61" s="2"/>
      <c r="U61" s="2"/>
      <c r="V61" s="2"/>
      <c r="W61" s="2"/>
      <c r="X61" s="2"/>
      <c r="Y61" s="2"/>
      <c r="Z61" s="2"/>
      <c r="AA61" s="2"/>
      <c r="AB61" s="2"/>
      <c r="AC61" s="2"/>
    </row>
    <row r="62" spans="14:29">
      <c r="N62" s="2"/>
      <c r="O62" s="2"/>
      <c r="P62" s="2"/>
      <c r="Q62" s="2"/>
      <c r="R62" s="2"/>
      <c r="S62" s="2"/>
      <c r="T62" s="2"/>
      <c r="U62" s="2"/>
      <c r="V62" s="2"/>
      <c r="W62" s="2"/>
      <c r="X62" s="2"/>
      <c r="Y62" s="2"/>
      <c r="Z62" s="2"/>
      <c r="AA62" s="2"/>
      <c r="AB62" s="2"/>
      <c r="AC62" s="2"/>
    </row>
    <row r="63" spans="14:29">
      <c r="N63" s="2"/>
      <c r="O63" s="2"/>
      <c r="P63" s="2"/>
      <c r="Q63" s="2"/>
      <c r="R63" s="2"/>
      <c r="S63" s="2"/>
      <c r="T63" s="2"/>
      <c r="U63" s="2"/>
      <c r="V63" s="2"/>
      <c r="W63" s="2"/>
      <c r="X63" s="2"/>
      <c r="Y63" s="2"/>
      <c r="Z63" s="2"/>
      <c r="AA63" s="2"/>
      <c r="AB63" s="2"/>
      <c r="AC63" s="2"/>
    </row>
    <row r="64" spans="14:29">
      <c r="N64" s="2"/>
      <c r="O64" s="2"/>
      <c r="P64" s="2"/>
      <c r="Q64" s="2"/>
      <c r="R64" s="2"/>
      <c r="S64" s="2"/>
      <c r="T64" s="2"/>
      <c r="U64" s="2"/>
      <c r="V64" s="2"/>
      <c r="W64" s="2"/>
      <c r="X64" s="2"/>
      <c r="Y64" s="2"/>
      <c r="Z64" s="2"/>
      <c r="AA64" s="2"/>
      <c r="AB64" s="2"/>
      <c r="AC64" s="2"/>
    </row>
    <row r="65" spans="14:29">
      <c r="N65" s="2"/>
      <c r="O65" s="2"/>
      <c r="P65" s="2"/>
      <c r="Q65" s="2"/>
      <c r="R65" s="2"/>
      <c r="S65" s="2"/>
      <c r="T65" s="2"/>
      <c r="U65" s="2"/>
      <c r="V65" s="2"/>
      <c r="W65" s="2"/>
      <c r="X65" s="2"/>
      <c r="Y65" s="2"/>
      <c r="Z65" s="2"/>
      <c r="AA65" s="2"/>
      <c r="AB65" s="2"/>
      <c r="AC65" s="2"/>
    </row>
    <row r="66" spans="14:29">
      <c r="N66" s="2"/>
      <c r="O66" s="2"/>
      <c r="P66" s="2"/>
      <c r="Q66" s="2"/>
      <c r="R66" s="2"/>
      <c r="S66" s="2"/>
      <c r="T66" s="2"/>
      <c r="U66" s="2"/>
      <c r="V66" s="2"/>
      <c r="W66" s="2"/>
      <c r="X66" s="2"/>
      <c r="Y66" s="2"/>
      <c r="Z66" s="2"/>
      <c r="AA66" s="2"/>
      <c r="AB66" s="2"/>
      <c r="AC66" s="2"/>
    </row>
    <row r="67" spans="14:29">
      <c r="N67" s="2"/>
      <c r="O67" s="2"/>
      <c r="P67" s="2"/>
      <c r="Q67" s="2"/>
      <c r="R67" s="2"/>
      <c r="S67" s="2"/>
      <c r="T67" s="2"/>
      <c r="U67" s="2"/>
      <c r="V67" s="2"/>
      <c r="W67" s="2"/>
      <c r="X67" s="2"/>
      <c r="Y67" s="2"/>
      <c r="Z67" s="2"/>
      <c r="AA67" s="2"/>
      <c r="AB67" s="2"/>
      <c r="AC67" s="2"/>
    </row>
    <row r="68" spans="14:29">
      <c r="N68" s="2"/>
      <c r="O68" s="2"/>
      <c r="P68" s="2"/>
      <c r="Q68" s="2"/>
      <c r="R68" s="2"/>
      <c r="S68" s="2"/>
      <c r="T68" s="2"/>
      <c r="U68" s="2"/>
      <c r="V68" s="2"/>
      <c r="W68" s="2"/>
      <c r="X68" s="2"/>
      <c r="Y68" s="2"/>
      <c r="Z68" s="2"/>
      <c r="AA68" s="2"/>
      <c r="AB68" s="2"/>
      <c r="AC68" s="2"/>
    </row>
    <row r="69" spans="14:29">
      <c r="N69" s="2"/>
      <c r="O69" s="2"/>
      <c r="P69" s="2"/>
      <c r="Q69" s="2"/>
      <c r="R69" s="2"/>
      <c r="S69" s="2"/>
      <c r="T69" s="2"/>
      <c r="U69" s="2"/>
      <c r="V69" s="2"/>
      <c r="W69" s="2"/>
      <c r="X69" s="2"/>
      <c r="Y69" s="2"/>
      <c r="Z69" s="2"/>
      <c r="AA69" s="2"/>
      <c r="AB69" s="2"/>
      <c r="AC69" s="2"/>
    </row>
    <row r="70" spans="14:29">
      <c r="N70" s="2"/>
      <c r="O70" s="2"/>
      <c r="P70" s="2"/>
      <c r="Q70" s="2"/>
      <c r="R70" s="2"/>
      <c r="S70" s="2"/>
      <c r="T70" s="2"/>
      <c r="U70" s="2"/>
      <c r="V70" s="2"/>
      <c r="W70" s="2"/>
      <c r="X70" s="2"/>
      <c r="Y70" s="2"/>
      <c r="Z70" s="2"/>
      <c r="AA70" s="2"/>
      <c r="AB70" s="2"/>
      <c r="AC70" s="2"/>
    </row>
    <row r="71" spans="14:29">
      <c r="N71" s="2"/>
      <c r="O71" s="2"/>
      <c r="P71" s="2"/>
      <c r="Q71" s="2"/>
      <c r="R71" s="2"/>
      <c r="S71" s="2"/>
      <c r="T71" s="2"/>
      <c r="U71" s="2"/>
      <c r="V71" s="2"/>
      <c r="W71" s="2"/>
      <c r="X71" s="2"/>
      <c r="Y71" s="2"/>
      <c r="Z71" s="2"/>
      <c r="AA71" s="2"/>
      <c r="AB71" s="2"/>
      <c r="AC71" s="2"/>
    </row>
    <row r="72" spans="14:29">
      <c r="N72" s="2"/>
      <c r="O72" s="2"/>
      <c r="P72" s="2"/>
      <c r="Q72" s="2"/>
      <c r="R72" s="2"/>
      <c r="S72" s="2"/>
      <c r="T72" s="2"/>
      <c r="U72" s="2"/>
      <c r="V72" s="2"/>
      <c r="W72" s="2"/>
      <c r="X72" s="2"/>
      <c r="Y72" s="2"/>
      <c r="Z72" s="2"/>
      <c r="AA72" s="2"/>
      <c r="AB72" s="2"/>
      <c r="AC72" s="2"/>
    </row>
    <row r="73" spans="14:29">
      <c r="N73" s="2"/>
      <c r="O73" s="2"/>
      <c r="P73" s="2"/>
      <c r="Q73" s="2"/>
      <c r="R73" s="2"/>
      <c r="S73" s="2"/>
      <c r="T73" s="2"/>
      <c r="U73" s="2"/>
      <c r="V73" s="2"/>
      <c r="W73" s="2"/>
      <c r="X73" s="2"/>
      <c r="Y73" s="2"/>
      <c r="Z73" s="2"/>
      <c r="AA73" s="2"/>
      <c r="AB73" s="2"/>
      <c r="AC73" s="2"/>
    </row>
    <row r="74" spans="14:29">
      <c r="N74" s="2"/>
      <c r="O74" s="2"/>
      <c r="P74" s="2"/>
      <c r="Q74" s="2"/>
      <c r="R74" s="2"/>
      <c r="S74" s="2"/>
      <c r="T74" s="2"/>
      <c r="U74" s="2"/>
      <c r="V74" s="2"/>
      <c r="W74" s="2"/>
      <c r="X74" s="2"/>
      <c r="Y74" s="2"/>
      <c r="Z74" s="2"/>
      <c r="AA74" s="2"/>
      <c r="AB74" s="2"/>
      <c r="AC74" s="2"/>
    </row>
    <row r="75" spans="14:29">
      <c r="N75" s="2"/>
      <c r="O75" s="2"/>
      <c r="P75" s="2"/>
      <c r="Q75" s="2"/>
      <c r="R75" s="2"/>
      <c r="S75" s="2"/>
      <c r="T75" s="2"/>
      <c r="U75" s="2"/>
      <c r="V75" s="2"/>
      <c r="W75" s="2"/>
      <c r="X75" s="2"/>
      <c r="Y75" s="2"/>
      <c r="Z75" s="2"/>
      <c r="AA75" s="2"/>
      <c r="AB75" s="2"/>
      <c r="AC75" s="2"/>
    </row>
    <row r="76" spans="14:29">
      <c r="N76" s="2"/>
      <c r="O76" s="2"/>
      <c r="P76" s="2"/>
      <c r="Q76" s="2"/>
      <c r="R76" s="2"/>
      <c r="S76" s="2"/>
      <c r="T76" s="2"/>
      <c r="U76" s="2"/>
      <c r="V76" s="2"/>
      <c r="W76" s="2"/>
      <c r="X76" s="2"/>
      <c r="Y76" s="2"/>
      <c r="Z76" s="2"/>
      <c r="AA76" s="2"/>
      <c r="AB76" s="2"/>
      <c r="AC76" s="2"/>
    </row>
    <row r="77" spans="14:29">
      <c r="N77" s="2"/>
      <c r="O77" s="2"/>
      <c r="P77" s="2"/>
      <c r="Q77" s="2"/>
      <c r="R77" s="2"/>
      <c r="S77" s="2"/>
      <c r="T77" s="2"/>
      <c r="U77" s="2"/>
      <c r="V77" s="2"/>
      <c r="W77" s="2"/>
      <c r="X77" s="2"/>
      <c r="Y77" s="2"/>
      <c r="Z77" s="2"/>
      <c r="AA77" s="2"/>
      <c r="AB77" s="2"/>
      <c r="AC77" s="2"/>
    </row>
    <row r="78" spans="14:29">
      <c r="N78" s="2"/>
      <c r="O78" s="2"/>
      <c r="P78" s="2"/>
      <c r="Q78" s="2"/>
      <c r="R78" s="2"/>
      <c r="S78" s="2"/>
      <c r="T78" s="2"/>
      <c r="U78" s="2"/>
      <c r="V78" s="2"/>
      <c r="W78" s="2"/>
      <c r="X78" s="2"/>
      <c r="Y78" s="2"/>
      <c r="Z78" s="2"/>
      <c r="AA78" s="2"/>
      <c r="AB78" s="2"/>
      <c r="AC78" s="2"/>
    </row>
    <row r="79" spans="14:29">
      <c r="N79" s="2"/>
      <c r="O79" s="2"/>
      <c r="P79" s="2"/>
      <c r="Q79" s="2"/>
      <c r="R79" s="2"/>
      <c r="S79" s="2"/>
      <c r="T79" s="2"/>
      <c r="U79" s="2"/>
      <c r="V79" s="2"/>
      <c r="W79" s="2"/>
      <c r="X79" s="2"/>
      <c r="Y79" s="2"/>
      <c r="Z79" s="2"/>
      <c r="AA79" s="2"/>
      <c r="AB79" s="2"/>
      <c r="AC79" s="2"/>
    </row>
    <row r="80" spans="14:29">
      <c r="N80" s="2"/>
      <c r="O80" s="2"/>
      <c r="P80" s="2"/>
      <c r="Q80" s="2"/>
      <c r="R80" s="2"/>
      <c r="S80" s="2"/>
      <c r="T80" s="2"/>
      <c r="U80" s="2"/>
      <c r="V80" s="2"/>
      <c r="W80" s="2"/>
      <c r="X80" s="2"/>
      <c r="Y80" s="2"/>
      <c r="Z80" s="2"/>
      <c r="AA80" s="2"/>
      <c r="AB80" s="2"/>
      <c r="AC80" s="2"/>
    </row>
    <row r="81" spans="14:29">
      <c r="N81" s="2"/>
      <c r="O81" s="2"/>
      <c r="P81" s="2"/>
      <c r="Q81" s="2"/>
      <c r="R81" s="2"/>
      <c r="S81" s="2"/>
      <c r="T81" s="2"/>
      <c r="U81" s="2"/>
      <c r="V81" s="2"/>
      <c r="W81" s="2"/>
      <c r="X81" s="2"/>
      <c r="Y81" s="2"/>
      <c r="Z81" s="2"/>
      <c r="AA81" s="2"/>
      <c r="AB81" s="2"/>
      <c r="AC81" s="2"/>
    </row>
    <row r="82" spans="14:29">
      <c r="N82" s="2"/>
      <c r="O82" s="2"/>
      <c r="P82" s="2"/>
      <c r="Q82" s="2"/>
      <c r="R82" s="2"/>
      <c r="S82" s="2"/>
      <c r="T82" s="2"/>
      <c r="U82" s="2"/>
      <c r="V82" s="2"/>
      <c r="W82" s="2"/>
      <c r="X82" s="2"/>
      <c r="Y82" s="2"/>
      <c r="Z82" s="2"/>
      <c r="AA82" s="2"/>
      <c r="AB82" s="2"/>
      <c r="AC82" s="2"/>
    </row>
    <row r="83" spans="14:29">
      <c r="N83" s="2"/>
      <c r="O83" s="2"/>
      <c r="P83" s="2"/>
      <c r="Q83" s="2"/>
      <c r="R83" s="2"/>
      <c r="S83" s="2"/>
      <c r="T83" s="2"/>
      <c r="U83" s="2"/>
      <c r="V83" s="2"/>
      <c r="W83" s="2"/>
      <c r="X83" s="2"/>
      <c r="Y83" s="2"/>
      <c r="Z83" s="2"/>
      <c r="AA83" s="2"/>
      <c r="AB83" s="2"/>
      <c r="AC83" s="2"/>
    </row>
    <row r="84" spans="14:29">
      <c r="N84" s="2"/>
      <c r="O84" s="2"/>
      <c r="P84" s="2"/>
      <c r="Q84" s="2"/>
      <c r="R84" s="2"/>
      <c r="S84" s="2"/>
      <c r="T84" s="2"/>
      <c r="U84" s="2"/>
      <c r="V84" s="2"/>
      <c r="W84" s="2"/>
      <c r="X84" s="2"/>
      <c r="Y84" s="2"/>
      <c r="Z84" s="2"/>
      <c r="AA84" s="2"/>
      <c r="AB84" s="2"/>
      <c r="AC84" s="2"/>
    </row>
    <row r="85" spans="14:29">
      <c r="N85" s="2"/>
      <c r="O85" s="2"/>
      <c r="P85" s="2"/>
      <c r="Q85" s="2"/>
      <c r="R85" s="2"/>
      <c r="S85" s="2"/>
      <c r="T85" s="2"/>
      <c r="U85" s="2"/>
      <c r="V85" s="2"/>
      <c r="W85" s="2"/>
      <c r="X85" s="2"/>
      <c r="Y85" s="2"/>
      <c r="Z85" s="2"/>
      <c r="AA85" s="2"/>
      <c r="AB85" s="2"/>
      <c r="AC85" s="2"/>
    </row>
    <row r="86" spans="14:29">
      <c r="N86" s="2"/>
      <c r="O86" s="2"/>
      <c r="P86" s="2"/>
      <c r="Q86" s="2"/>
      <c r="R86" s="2"/>
      <c r="S86" s="2"/>
      <c r="T86" s="2"/>
      <c r="U86" s="2"/>
      <c r="V86" s="2"/>
      <c r="W86" s="2"/>
      <c r="X86" s="2"/>
      <c r="Y86" s="2"/>
      <c r="Z86" s="2"/>
      <c r="AA86" s="2"/>
      <c r="AB86" s="2"/>
      <c r="AC86" s="2"/>
    </row>
    <row r="87" spans="14:29">
      <c r="N87" s="2"/>
      <c r="O87" s="2"/>
      <c r="P87" s="2"/>
      <c r="Q87" s="2"/>
      <c r="R87" s="2"/>
      <c r="S87" s="2"/>
      <c r="T87" s="2"/>
      <c r="U87" s="2"/>
      <c r="V87" s="2"/>
      <c r="W87" s="2"/>
      <c r="X87" s="2"/>
      <c r="Y87" s="2"/>
      <c r="Z87" s="2"/>
      <c r="AA87" s="2"/>
      <c r="AB87" s="2"/>
      <c r="AC87" s="2"/>
    </row>
    <row r="88" spans="14:29">
      <c r="N88" s="2"/>
      <c r="O88" s="2"/>
      <c r="P88" s="2"/>
      <c r="Q88" s="2"/>
      <c r="R88" s="2"/>
      <c r="S88" s="2"/>
      <c r="T88" s="2"/>
      <c r="U88" s="2"/>
      <c r="V88" s="2"/>
      <c r="W88" s="2"/>
      <c r="X88" s="2"/>
      <c r="Y88" s="2"/>
      <c r="Z88" s="2"/>
      <c r="AA88" s="2"/>
      <c r="AB88" s="2"/>
      <c r="AC88" s="2"/>
    </row>
    <row r="89" spans="14:29">
      <c r="N89" s="2"/>
      <c r="O89" s="2"/>
      <c r="P89" s="2"/>
      <c r="Q89" s="2"/>
      <c r="R89" s="2"/>
      <c r="S89" s="2"/>
      <c r="T89" s="2"/>
      <c r="U89" s="2"/>
      <c r="V89" s="2"/>
      <c r="W89" s="2"/>
      <c r="X89" s="2"/>
      <c r="Y89" s="2"/>
      <c r="Z89" s="2"/>
      <c r="AA89" s="2"/>
      <c r="AB89" s="2"/>
      <c r="AC89" s="2"/>
    </row>
    <row r="90" spans="14:29">
      <c r="N90" s="2"/>
      <c r="O90" s="2"/>
      <c r="P90" s="2"/>
      <c r="Q90" s="2"/>
      <c r="R90" s="2"/>
      <c r="S90" s="2"/>
      <c r="T90" s="2"/>
      <c r="U90" s="2"/>
      <c r="V90" s="2"/>
      <c r="W90" s="2"/>
      <c r="X90" s="2"/>
      <c r="Y90" s="2"/>
      <c r="Z90" s="2"/>
      <c r="AA90" s="2"/>
      <c r="AB90" s="2"/>
      <c r="AC90" s="2"/>
    </row>
    <row r="91" spans="14:29">
      <c r="N91" s="2"/>
      <c r="O91" s="2"/>
      <c r="P91" s="2"/>
      <c r="Q91" s="2"/>
      <c r="R91" s="2"/>
      <c r="S91" s="2"/>
      <c r="T91" s="2"/>
      <c r="U91" s="2"/>
      <c r="V91" s="2"/>
      <c r="W91" s="2"/>
      <c r="X91" s="2"/>
      <c r="Y91" s="2"/>
      <c r="Z91" s="2"/>
      <c r="AA91" s="2"/>
      <c r="AB91" s="2"/>
      <c r="AC91" s="2"/>
    </row>
    <row r="92" spans="14:29">
      <c r="N92" s="2"/>
      <c r="O92" s="2"/>
      <c r="P92" s="2"/>
      <c r="Q92" s="2"/>
      <c r="R92" s="2"/>
      <c r="S92" s="2"/>
      <c r="T92" s="2"/>
      <c r="U92" s="2"/>
      <c r="V92" s="2"/>
      <c r="W92" s="2"/>
      <c r="X92" s="2"/>
      <c r="Y92" s="2"/>
      <c r="Z92" s="2"/>
      <c r="AA92" s="2"/>
      <c r="AB92" s="2"/>
      <c r="AC92" s="2"/>
    </row>
    <row r="93" spans="14:29">
      <c r="N93" s="2"/>
      <c r="O93" s="2"/>
      <c r="P93" s="2"/>
      <c r="Q93" s="2"/>
      <c r="R93" s="2"/>
      <c r="S93" s="2"/>
      <c r="T93" s="2"/>
      <c r="U93" s="2"/>
      <c r="V93" s="2"/>
      <c r="W93" s="2"/>
      <c r="X93" s="2"/>
      <c r="Y93" s="2"/>
      <c r="Z93" s="2"/>
      <c r="AA93" s="2"/>
      <c r="AB93" s="2"/>
      <c r="AC93" s="2"/>
    </row>
    <row r="94" spans="14:29">
      <c r="N94" s="2"/>
      <c r="O94" s="2"/>
      <c r="P94" s="2"/>
      <c r="Q94" s="2"/>
      <c r="R94" s="2"/>
      <c r="S94" s="2"/>
      <c r="T94" s="2"/>
      <c r="U94" s="2"/>
      <c r="V94" s="2"/>
      <c r="W94" s="2"/>
      <c r="X94" s="2"/>
      <c r="Y94" s="2"/>
      <c r="Z94" s="2"/>
      <c r="AA94" s="2"/>
      <c r="AB94" s="2"/>
      <c r="AC94" s="2"/>
    </row>
    <row r="95" spans="14:29">
      <c r="N95" s="2"/>
      <c r="O95" s="2"/>
      <c r="P95" s="2"/>
      <c r="Q95" s="2"/>
      <c r="R95" s="2"/>
      <c r="S95" s="2"/>
      <c r="T95" s="2"/>
      <c r="U95" s="2"/>
      <c r="V95" s="2"/>
      <c r="W95" s="2"/>
      <c r="X95" s="2"/>
      <c r="Y95" s="2"/>
      <c r="Z95" s="2"/>
      <c r="AA95" s="2"/>
      <c r="AB95" s="2"/>
      <c r="AC95" s="2"/>
    </row>
    <row r="96" spans="14:29">
      <c r="N96" s="2"/>
      <c r="O96" s="2"/>
      <c r="P96" s="2"/>
      <c r="Q96" s="2"/>
      <c r="R96" s="2"/>
      <c r="S96" s="2"/>
      <c r="T96" s="2"/>
      <c r="U96" s="2"/>
      <c r="V96" s="2"/>
      <c r="W96" s="2"/>
      <c r="X96" s="2"/>
      <c r="Y96" s="2"/>
      <c r="Z96" s="2"/>
      <c r="AA96" s="2"/>
      <c r="AB96" s="2"/>
      <c r="AC96" s="2"/>
    </row>
    <row r="97" spans="14:29">
      <c r="N97" s="2"/>
      <c r="O97" s="2"/>
      <c r="P97" s="2"/>
      <c r="Q97" s="2"/>
      <c r="R97" s="2"/>
      <c r="S97" s="2"/>
      <c r="T97" s="2"/>
      <c r="U97" s="2"/>
      <c r="V97" s="2"/>
      <c r="W97" s="2"/>
      <c r="X97" s="2"/>
      <c r="Y97" s="2"/>
      <c r="Z97" s="2"/>
      <c r="AA97" s="2"/>
      <c r="AB97" s="2"/>
      <c r="AC97" s="2"/>
    </row>
    <row r="98" spans="14:29">
      <c r="N98" s="2"/>
      <c r="O98" s="2"/>
      <c r="P98" s="2"/>
      <c r="Q98" s="2"/>
      <c r="R98" s="2"/>
      <c r="S98" s="2"/>
      <c r="T98" s="2"/>
      <c r="U98" s="2"/>
      <c r="V98" s="2"/>
      <c r="W98" s="2"/>
      <c r="X98" s="2"/>
      <c r="Y98" s="2"/>
      <c r="Z98" s="2"/>
      <c r="AA98" s="2"/>
      <c r="AB98" s="2"/>
      <c r="AC98" s="2"/>
    </row>
    <row r="99" spans="14:29">
      <c r="N99" s="2"/>
      <c r="O99" s="2"/>
      <c r="P99" s="2"/>
      <c r="Q99" s="2"/>
      <c r="R99" s="2"/>
      <c r="S99" s="2"/>
      <c r="T99" s="2"/>
      <c r="U99" s="2"/>
      <c r="V99" s="2"/>
      <c r="W99" s="2"/>
      <c r="X99" s="2"/>
      <c r="Y99" s="2"/>
      <c r="Z99" s="2"/>
      <c r="AA99" s="2"/>
      <c r="AB99" s="2"/>
      <c r="AC99" s="2"/>
    </row>
    <row r="100" spans="14:29">
      <c r="N100" s="2"/>
      <c r="O100" s="2"/>
      <c r="P100" s="2"/>
      <c r="Q100" s="2"/>
      <c r="R100" s="2"/>
      <c r="S100" s="2"/>
      <c r="T100" s="2"/>
      <c r="U100" s="2"/>
      <c r="V100" s="2"/>
      <c r="W100" s="2"/>
      <c r="X100" s="2"/>
      <c r="Y100" s="2"/>
      <c r="Z100" s="2"/>
      <c r="AA100" s="2"/>
      <c r="AB100" s="2"/>
      <c r="AC100" s="2"/>
    </row>
    <row r="101" spans="14:29">
      <c r="N101" s="2"/>
      <c r="O101" s="2"/>
      <c r="P101" s="2"/>
      <c r="Q101" s="2"/>
      <c r="R101" s="2"/>
      <c r="S101" s="2"/>
      <c r="T101" s="2"/>
      <c r="U101" s="2"/>
      <c r="V101" s="2"/>
      <c r="W101" s="2"/>
      <c r="X101" s="2"/>
      <c r="Y101" s="2"/>
      <c r="Z101" s="2"/>
      <c r="AA101" s="2"/>
      <c r="AB101" s="2"/>
      <c r="AC101" s="2"/>
    </row>
    <row r="102" spans="14:29">
      <c r="N102" s="2"/>
      <c r="O102" s="2"/>
      <c r="P102" s="2"/>
      <c r="Q102" s="2"/>
      <c r="R102" s="2"/>
      <c r="S102" s="2"/>
      <c r="T102" s="2"/>
      <c r="U102" s="2"/>
      <c r="V102" s="2"/>
      <c r="W102" s="2"/>
      <c r="X102" s="2"/>
      <c r="Y102" s="2"/>
      <c r="Z102" s="2"/>
      <c r="AA102" s="2"/>
      <c r="AB102" s="2"/>
      <c r="AC102" s="2"/>
    </row>
    <row r="103" spans="14:29">
      <c r="N103" s="2"/>
      <c r="O103" s="2"/>
      <c r="P103" s="2"/>
      <c r="Q103" s="2"/>
      <c r="R103" s="2"/>
      <c r="S103" s="2"/>
      <c r="T103" s="2"/>
      <c r="U103" s="2"/>
      <c r="V103" s="2"/>
      <c r="W103" s="2"/>
      <c r="X103" s="2"/>
      <c r="Y103" s="2"/>
      <c r="Z103" s="2"/>
      <c r="AA103" s="2"/>
      <c r="AB103" s="2"/>
      <c r="AC103" s="2"/>
    </row>
    <row r="104" spans="14:29">
      <c r="N104" s="2"/>
      <c r="O104" s="2"/>
      <c r="P104" s="2"/>
      <c r="Q104" s="2"/>
      <c r="R104" s="2"/>
      <c r="S104" s="2"/>
      <c r="T104" s="2"/>
      <c r="U104" s="2"/>
      <c r="V104" s="2"/>
      <c r="W104" s="2"/>
      <c r="X104" s="2"/>
      <c r="Y104" s="2"/>
      <c r="Z104" s="2"/>
      <c r="AA104" s="2"/>
      <c r="AB104" s="2"/>
      <c r="AC104" s="2"/>
    </row>
    <row r="105" spans="14:29">
      <c r="N105" s="2"/>
      <c r="O105" s="2"/>
      <c r="P105" s="2"/>
      <c r="Q105" s="2"/>
      <c r="R105" s="2"/>
      <c r="S105" s="2"/>
      <c r="T105" s="2"/>
      <c r="U105" s="2"/>
      <c r="V105" s="2"/>
      <c r="W105" s="2"/>
      <c r="X105" s="2"/>
      <c r="Y105" s="2"/>
      <c r="Z105" s="2"/>
      <c r="AA105" s="2"/>
      <c r="AB105" s="2"/>
      <c r="AC105" s="2"/>
    </row>
    <row r="106" spans="14:29">
      <c r="N106" s="2"/>
      <c r="O106" s="2"/>
      <c r="P106" s="2"/>
      <c r="Q106" s="2"/>
      <c r="R106" s="2"/>
      <c r="S106" s="2"/>
      <c r="T106" s="2"/>
      <c r="U106" s="2"/>
      <c r="V106" s="2"/>
      <c r="W106" s="2"/>
      <c r="X106" s="2"/>
      <c r="Y106" s="2"/>
      <c r="Z106" s="2"/>
      <c r="AA106" s="2"/>
      <c r="AB106" s="2"/>
      <c r="AC106" s="2"/>
    </row>
  </sheetData>
  <mergeCells count="17">
    <mergeCell ref="M35:M37"/>
    <mergeCell ref="O1:P1"/>
    <mergeCell ref="O2:P2"/>
    <mergeCell ref="G5:H5"/>
    <mergeCell ref="G4:H4"/>
    <mergeCell ref="F9:H9"/>
    <mergeCell ref="I2:L2"/>
    <mergeCell ref="J26:K26"/>
    <mergeCell ref="M20:M22"/>
    <mergeCell ref="I18:L18"/>
    <mergeCell ref="M23:M25"/>
    <mergeCell ref="F10:H10"/>
    <mergeCell ref="C42:D42"/>
    <mergeCell ref="C43:D43"/>
    <mergeCell ref="R48:S48"/>
    <mergeCell ref="Q49:Q50"/>
    <mergeCell ref="Q52:Q53"/>
  </mergeCells>
  <phoneticPr fontId="0" type="noConversion"/>
  <conditionalFormatting sqref="C15:D15">
    <cfRule type="cellIs" dxfId="69" priority="7" stopIfTrue="1" operator="equal">
      <formula>0</formula>
    </cfRule>
  </conditionalFormatting>
  <conditionalFormatting sqref="H18">
    <cfRule type="expression" dxfId="68" priority="8" stopIfTrue="1">
      <formula>#REF!=""</formula>
    </cfRule>
  </conditionalFormatting>
  <conditionalFormatting sqref="H12">
    <cfRule type="cellIs" dxfId="67" priority="9" stopIfTrue="1" operator="lessThan">
      <formula>0</formula>
    </cfRule>
  </conditionalFormatting>
  <conditionalFormatting sqref="M16:M18 M30 M26:M27">
    <cfRule type="cellIs" dxfId="66" priority="10" stopIfTrue="1" operator="equal">
      <formula>"√"</formula>
    </cfRule>
  </conditionalFormatting>
  <conditionalFormatting sqref="Q28 T28 N28">
    <cfRule type="cellIs" dxfId="65" priority="11" stopIfTrue="1" operator="equal">
      <formula>"ok"</formula>
    </cfRule>
  </conditionalFormatting>
  <conditionalFormatting sqref="U20 R20">
    <cfRule type="cellIs" dxfId="64" priority="12" stopIfTrue="1" operator="equal">
      <formula>"INVALID"</formula>
    </cfRule>
  </conditionalFormatting>
  <conditionalFormatting sqref="H29 H31 B29:B38 C35:F35 C36 C38 G29:G38 D29:F34 D36:F38 C28:C34">
    <cfRule type="expression" dxfId="63" priority="13" stopIfTrue="1">
      <formula>$I$24&gt;=$I$25</formula>
    </cfRule>
  </conditionalFormatting>
  <conditionalFormatting sqref="M28:M29">
    <cfRule type="cellIs" dxfId="62" priority="14" stopIfTrue="1" operator="equal">
      <formula>""</formula>
    </cfRule>
  </conditionalFormatting>
  <conditionalFormatting sqref="F9">
    <cfRule type="cellIs" dxfId="61" priority="17" stopIfTrue="1" operator="equal">
      <formula>"VALID DESIGN"</formula>
    </cfRule>
  </conditionalFormatting>
  <conditionalFormatting sqref="F16:H17">
    <cfRule type="expression" dxfId="60" priority="18" stopIfTrue="1">
      <formula>$O$3=$O$1</formula>
    </cfRule>
  </conditionalFormatting>
  <conditionalFormatting sqref="M20:M22">
    <cfRule type="expression" dxfId="59" priority="19" stopIfTrue="1">
      <formula>$O$3=$O$1</formula>
    </cfRule>
  </conditionalFormatting>
  <conditionalFormatting sqref="I25">
    <cfRule type="expression" dxfId="58" priority="20" stopIfTrue="1">
      <formula>$K$25&gt;1</formula>
    </cfRule>
  </conditionalFormatting>
  <conditionalFormatting sqref="M19">
    <cfRule type="cellIs" dxfId="57" priority="6" stopIfTrue="1" operator="equal">
      <formula>"√"</formula>
    </cfRule>
  </conditionalFormatting>
  <conditionalFormatting sqref="D25">
    <cfRule type="expression" dxfId="56" priority="25" stopIfTrue="1">
      <formula>$M$26="√"</formula>
    </cfRule>
  </conditionalFormatting>
  <conditionalFormatting sqref="I18">
    <cfRule type="cellIs" dxfId="55" priority="4" stopIfTrue="1" operator="equal">
      <formula>"√"</formula>
    </cfRule>
  </conditionalFormatting>
  <conditionalFormatting sqref="M23">
    <cfRule type="cellIs" dxfId="54" priority="3" stopIfTrue="1" operator="equal">
      <formula>"√"</formula>
    </cfRule>
  </conditionalFormatting>
  <conditionalFormatting sqref="M35:M37">
    <cfRule type="expression" dxfId="53" priority="2">
      <formula>$Q$36=0</formula>
    </cfRule>
  </conditionalFormatting>
  <printOptions horizontalCentered="1"/>
  <pageMargins left="0.25" right="0.25" top="0.25" bottom="0.25" header="0" footer="0"/>
  <pageSetup paperSize="9" scale="95" orientation="portrait" r:id="rId1"/>
  <headerFooter alignWithMargins="0"/>
  <drawing r:id="rId2"/>
  <legacyDrawing r:id="rId3"/>
  <picture r:id="rId4"/>
  <controls>
    <mc:AlternateContent xmlns:mc="http://schemas.openxmlformats.org/markup-compatibility/2006">
      <mc:Choice Requires="x14">
        <control shapeId="1450" r:id="rId5" name="ComboBox3">
          <controlPr defaultSize="0" autoFill="0" autoLine="0" linkedCell="AJ3" listFillRange="AJ1:AJ2" r:id="rId6">
            <anchor moveWithCells="1">
              <from>
                <xdr:col>12</xdr:col>
                <xdr:colOff>1152525</xdr:colOff>
                <xdr:row>13</xdr:row>
                <xdr:rowOff>0</xdr:rowOff>
              </from>
              <to>
                <xdr:col>12</xdr:col>
                <xdr:colOff>2286000</xdr:colOff>
                <xdr:row>14</xdr:row>
                <xdr:rowOff>47625</xdr:rowOff>
              </to>
            </anchor>
          </controlPr>
        </control>
      </mc:Choice>
      <mc:Fallback>
        <control shapeId="1450" r:id="rId5" name="ComboBox3"/>
      </mc:Fallback>
    </mc:AlternateContent>
    <mc:AlternateContent xmlns:mc="http://schemas.openxmlformats.org/markup-compatibility/2006">
      <mc:Choice Requires="x14">
        <control shapeId="1446" r:id="rId7" name="ComboBox1">
          <controlPr defaultSize="0" autoFill="0" autoLine="0" linkedCell="AI9" listFillRange="AI1:AI8" r:id="rId8">
            <anchor moveWithCells="1">
              <from>
                <xdr:col>12</xdr:col>
                <xdr:colOff>1247775</xdr:colOff>
                <xdr:row>11</xdr:row>
                <xdr:rowOff>0</xdr:rowOff>
              </from>
              <to>
                <xdr:col>12</xdr:col>
                <xdr:colOff>1933575</xdr:colOff>
                <xdr:row>12</xdr:row>
                <xdr:rowOff>57150</xdr:rowOff>
              </to>
            </anchor>
          </controlPr>
        </control>
      </mc:Choice>
      <mc:Fallback>
        <control shapeId="1446" r:id="rId7" name="ComboBox1"/>
      </mc:Fallback>
    </mc:AlternateContent>
    <mc:AlternateContent xmlns:mc="http://schemas.openxmlformats.org/markup-compatibility/2006">
      <mc:Choice Requires="x14">
        <control shapeId="1029" r:id="rId9" name="ComboBox2">
          <controlPr defaultSize="0" autoFill="0" autoLine="0" linkedCell="O3" listFillRange="O1:O2" r:id="rId10">
            <anchor moveWithCells="1">
              <from>
                <xdr:col>12</xdr:col>
                <xdr:colOff>142875</xdr:colOff>
                <xdr:row>9</xdr:row>
                <xdr:rowOff>28575</xdr:rowOff>
              </from>
              <to>
                <xdr:col>12</xdr:col>
                <xdr:colOff>2095500</xdr:colOff>
                <xdr:row>10</xdr:row>
                <xdr:rowOff>95250</xdr:rowOff>
              </to>
            </anchor>
          </controlPr>
        </control>
      </mc:Choice>
      <mc:Fallback>
        <control shapeId="1029" r:id="rId9" name="ComboBox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indexed="13"/>
    <pageSetUpPr fitToPage="1"/>
  </sheetPr>
  <dimension ref="A1:AU113"/>
  <sheetViews>
    <sheetView showGridLines="0" zoomScale="85" zoomScaleNormal="85" workbookViewId="0">
      <selection activeCell="G25" sqref="G25"/>
    </sheetView>
  </sheetViews>
  <sheetFormatPr defaultRowHeight="15"/>
  <cols>
    <col min="1" max="1" width="2.77734375" customWidth="1"/>
    <col min="2" max="2" width="12.88671875" customWidth="1"/>
    <col min="3" max="4" width="6.77734375" customWidth="1"/>
    <col min="5" max="5" width="7.77734375" customWidth="1"/>
    <col min="6" max="6" width="7" customWidth="1"/>
    <col min="7" max="7" width="6.77734375" customWidth="1"/>
    <col min="8" max="8" width="7.77734375" customWidth="1"/>
    <col min="9" max="9" width="8.77734375" customWidth="1"/>
    <col min="10" max="10" width="6.77734375" customWidth="1"/>
    <col min="11" max="12" width="8.77734375" customWidth="1"/>
    <col min="13" max="13" width="38.21875" customWidth="1"/>
    <col min="14" max="14" width="11.33203125" customWidth="1"/>
    <col min="15" max="15" width="7.77734375" customWidth="1"/>
    <col min="16" max="16" width="9.88671875" customWidth="1"/>
    <col min="17" max="17" width="11.77734375" customWidth="1"/>
    <col min="18" max="18" width="7.77734375" customWidth="1"/>
    <col min="19" max="19" width="9.88671875" customWidth="1"/>
    <col min="20" max="20" width="11.77734375" customWidth="1"/>
    <col min="21" max="21" width="7.77734375" customWidth="1"/>
    <col min="22" max="22" width="9.88671875" bestFit="1" customWidth="1"/>
    <col min="23" max="26" width="6.77734375" customWidth="1"/>
    <col min="27" max="27" width="7.33203125" customWidth="1"/>
    <col min="28" max="36" width="6.77734375" customWidth="1"/>
  </cols>
  <sheetData>
    <row r="1" spans="1:40" ht="20.25" thickBot="1">
      <c r="A1" s="352"/>
      <c r="B1" s="226"/>
      <c r="C1" s="226"/>
      <c r="D1" s="226"/>
      <c r="E1" s="226"/>
      <c r="F1" s="226"/>
      <c r="G1" s="226"/>
      <c r="H1" s="226"/>
      <c r="I1" s="226"/>
      <c r="J1" s="226"/>
      <c r="K1" s="226"/>
      <c r="L1" s="226"/>
      <c r="M1" s="227"/>
      <c r="N1" s="111"/>
      <c r="O1" s="713" t="s">
        <v>305</v>
      </c>
      <c r="P1" s="714"/>
      <c r="Q1" s="3" t="str">
        <f>IF(NOT(E9=500),"X",IF(E10="B","B",IF(E10="C","C","H")))</f>
        <v>H</v>
      </c>
      <c r="R1" s="3" t="str">
        <f>Q1&amp;IF(O28=1,O14,IF(R28=1,R12,U12))&amp;" @ "</f>
        <v xml:space="preserve">H8 @ </v>
      </c>
      <c r="T1" s="1" t="s">
        <v>72</v>
      </c>
      <c r="U1" s="99">
        <f>1000*(E$17-E$18*AG6)*G19/AC6/G$23</f>
        <v>2.7822173181656296</v>
      </c>
      <c r="V1" s="609"/>
      <c r="X1" s="460" t="s">
        <v>38</v>
      </c>
      <c r="Y1" s="83"/>
      <c r="Z1" s="83"/>
      <c r="AA1" s="83"/>
      <c r="AB1" s="83"/>
      <c r="AC1" s="83"/>
      <c r="AE1" s="460" t="s">
        <v>71</v>
      </c>
      <c r="AF1" s="83"/>
      <c r="AG1" s="83"/>
      <c r="AI1" s="41">
        <v>0</v>
      </c>
      <c r="AJ1" s="42">
        <v>8</v>
      </c>
    </row>
    <row r="2" spans="1:40" ht="33.6" customHeight="1" thickBot="1">
      <c r="A2" s="228"/>
      <c r="B2" s="265" t="s">
        <v>13</v>
      </c>
      <c r="C2" s="338" t="str">
        <f>INTERNAL!C2</f>
        <v>Milton Keynes</v>
      </c>
      <c r="D2" s="298"/>
      <c r="E2" s="298"/>
      <c r="F2" s="298"/>
      <c r="G2" s="298"/>
      <c r="H2" s="299"/>
      <c r="I2" s="734" t="str">
        <f>INTERNAL!I2</f>
        <v>The Concrete Centre</v>
      </c>
      <c r="J2" s="735"/>
      <c r="K2" s="735"/>
      <c r="L2" s="736"/>
      <c r="M2" s="229"/>
      <c r="N2" s="2"/>
      <c r="O2" s="715" t="s">
        <v>306</v>
      </c>
      <c r="P2" s="716"/>
      <c r="Q2" s="2"/>
      <c r="R2" s="3"/>
      <c r="T2" s="14" t="s">
        <v>73</v>
      </c>
      <c r="U2" s="99">
        <f>1000*(E$17-E$18*AG5)*G$19/AC5/G$23</f>
        <v>0.90576630469159392</v>
      </c>
      <c r="X2" s="463" t="s">
        <v>3</v>
      </c>
      <c r="Y2" s="463" t="s">
        <v>0</v>
      </c>
      <c r="Z2" s="463" t="s">
        <v>33</v>
      </c>
      <c r="AA2" s="467" t="s">
        <v>413</v>
      </c>
      <c r="AB2" s="463" t="s">
        <v>1</v>
      </c>
      <c r="AC2" s="463" t="s">
        <v>410</v>
      </c>
      <c r="AD2" s="463" t="s">
        <v>411</v>
      </c>
      <c r="AE2" s="463" t="s">
        <v>0</v>
      </c>
      <c r="AF2" s="242" t="s">
        <v>33</v>
      </c>
      <c r="AG2" s="242" t="s">
        <v>37</v>
      </c>
      <c r="AI2" s="43">
        <f>PI()/4*6^2</f>
        <v>28.274333882308138</v>
      </c>
      <c r="AJ2" s="44">
        <v>8</v>
      </c>
    </row>
    <row r="3" spans="1:40" ht="18">
      <c r="A3" s="226"/>
      <c r="B3" s="267" t="s">
        <v>14</v>
      </c>
      <c r="C3" s="339" t="str">
        <f>INTERNAL!C3</f>
        <v>Abbey Gate Developments</v>
      </c>
      <c r="D3" s="334"/>
      <c r="E3" s="301"/>
      <c r="F3" s="302"/>
      <c r="G3" s="302"/>
      <c r="H3" s="303"/>
      <c r="I3" s="316" t="s">
        <v>15</v>
      </c>
      <c r="J3" s="317" t="s">
        <v>16</v>
      </c>
      <c r="K3" s="318"/>
      <c r="L3" s="319" t="s">
        <v>17</v>
      </c>
      <c r="M3" s="229"/>
      <c r="N3" s="2"/>
      <c r="O3" s="13" t="s">
        <v>306</v>
      </c>
      <c r="P3" s="77"/>
      <c r="Q3" s="77"/>
      <c r="R3" s="75"/>
      <c r="T3" s="76"/>
      <c r="U3" s="363"/>
      <c r="X3" s="80">
        <v>1</v>
      </c>
      <c r="Y3" s="81">
        <f>2*G23</f>
        <v>386</v>
      </c>
      <c r="Z3" s="81">
        <f>2*PI()*Y3+2*($E$12+$E$13)</f>
        <v>5425.3095285713207</v>
      </c>
      <c r="AA3" s="81">
        <f>MIN(PI()*Y3+$E$12+2*$E$13+2*E$15,Z3)</f>
        <v>3912.6547642856603</v>
      </c>
      <c r="AB3" s="81">
        <f>AB24</f>
        <v>0</v>
      </c>
      <c r="AC3" s="82">
        <f>AA3-AB3</f>
        <v>3912.6547642856603</v>
      </c>
      <c r="AD3" s="136">
        <f>(E$17-E$18*AG3-E$19/1000*(E$12+2*Y3))*G$19</f>
        <v>466.94988342139783</v>
      </c>
      <c r="AE3" s="84">
        <v>0</v>
      </c>
      <c r="AF3" s="370">
        <f>($E$12*$E$13+2*AE3*($E$12+$E$13)+PI()*AE3^2)/1000000</f>
        <v>0.36</v>
      </c>
      <c r="AG3" s="85">
        <f>MIN(AF3,($E$12*$E$13+AE3*($E$12+2*$E$13)+PI()*AE3^2/2+E$15*(E$12+2*AE3))/1000000)</f>
        <v>0.36</v>
      </c>
      <c r="AI3" s="43">
        <f>PI()/4*AJ2^2</f>
        <v>50.26548245743669</v>
      </c>
      <c r="AJ3" s="44">
        <v>10</v>
      </c>
    </row>
    <row r="4" spans="1:40" ht="19.5">
      <c r="A4" s="226"/>
      <c r="B4" s="267" t="s">
        <v>18</v>
      </c>
      <c r="C4" s="268">
        <v>2001</v>
      </c>
      <c r="D4" s="335"/>
      <c r="E4" s="301"/>
      <c r="F4" s="304"/>
      <c r="G4" s="732"/>
      <c r="H4" s="733"/>
      <c r="I4" s="375" t="str">
        <f>INTERNAL!I4</f>
        <v>SM</v>
      </c>
      <c r="J4" s="306">
        <f ca="1">INTERNAL!J4</f>
        <v>43662</v>
      </c>
      <c r="K4" s="307"/>
      <c r="L4" s="308">
        <f>INTERNAL!L4+1</f>
        <v>2</v>
      </c>
      <c r="M4" s="230"/>
      <c r="N4" s="18" t="s">
        <v>75</v>
      </c>
      <c r="O4" s="703">
        <f>IF(γRC&lt;22,0.5,0.6)*(1-E8/250)</f>
        <v>0.5232</v>
      </c>
      <c r="P4" s="240" t="s">
        <v>91</v>
      </c>
      <c r="Q4" s="364">
        <f>MIN(E9/Refs!D8,250+G23/4)</f>
        <v>298.25</v>
      </c>
      <c r="R4" s="365" t="s">
        <v>78</v>
      </c>
      <c r="S4" s="366">
        <f>(E13+E15)/2</f>
        <v>600</v>
      </c>
      <c r="T4" s="365" t="s">
        <v>86</v>
      </c>
      <c r="U4" s="366">
        <f>S4*2+E12</f>
        <v>1500</v>
      </c>
      <c r="V4" s="3"/>
      <c r="X4" s="86" t="s">
        <v>409</v>
      </c>
      <c r="Y4" s="688">
        <f>1+Y13</f>
        <v>268.89659592888376</v>
      </c>
      <c r="Z4" s="87">
        <f>2*PI()*Y4+2*($E$12+$E$13)</f>
        <v>4689.5271406909687</v>
      </c>
      <c r="AA4" s="87">
        <f>MIN(PI()*Y4+$E$12+2*$E$13+2*E$15,Z4)</f>
        <v>3544.7635703454844</v>
      </c>
      <c r="AB4" s="87">
        <f>AB$9*Y4/Y$9</f>
        <v>0</v>
      </c>
      <c r="AC4" s="88">
        <f>AA4-AB4</f>
        <v>3544.7635703454844</v>
      </c>
      <c r="AD4" s="687">
        <f>(E$17-E$18*AG4-E$19/1000*(E$12+2*Y4))*G$19</f>
        <v>483.12750169539862</v>
      </c>
      <c r="AE4" s="89">
        <f>Y4-2*G23</f>
        <v>-117.10340407111624</v>
      </c>
      <c r="AF4" s="363">
        <f>($E$12*$E$13+2*AE4*($E$12+$E$13)+PI()*AE4^2)/1000000</f>
        <v>5.1771098924833087E-2</v>
      </c>
      <c r="AG4" s="90">
        <f>MIN(AF4,($E$12*$E$13+AE4*($E$12+2*$E$13)+PI()*AE4^2/2+E$15*(E$12+2*AE4))/1000000)</f>
        <v>5.1771098924833087E-2</v>
      </c>
      <c r="AH4" s="26">
        <f>(1000*AD4/AC4/G23)/I25</f>
        <v>0.94242224606524971</v>
      </c>
      <c r="AI4" s="43">
        <f>PI()/4*AJ3^2</f>
        <v>78.539816339744831</v>
      </c>
      <c r="AJ4" s="44">
        <v>12</v>
      </c>
    </row>
    <row r="5" spans="1:40" ht="19.5">
      <c r="A5" s="226"/>
      <c r="B5" s="269"/>
      <c r="C5" s="270" t="str">
        <f>INTERNAL!C5</f>
        <v>PUNCHING SHEAR to BS EN 1992-1: 2004</v>
      </c>
      <c r="D5" s="336"/>
      <c r="E5" s="310"/>
      <c r="F5" s="304"/>
      <c r="G5" s="333"/>
      <c r="H5" s="337" t="s">
        <v>65</v>
      </c>
      <c r="I5" s="320" t="s">
        <v>19</v>
      </c>
      <c r="J5" s="321" t="s">
        <v>20</v>
      </c>
      <c r="K5" s="322"/>
      <c r="L5" s="323" t="s">
        <v>21</v>
      </c>
      <c r="M5" s="83"/>
      <c r="N5" s="1" t="s">
        <v>76</v>
      </c>
      <c r="O5" s="33">
        <f>E8/Refs!D7*Refs!D9</f>
        <v>21.333333333333332</v>
      </c>
      <c r="P5" s="78"/>
      <c r="Q5" s="79"/>
      <c r="R5" s="367" t="s">
        <v>155</v>
      </c>
      <c r="S5" s="368">
        <f>MAX(E12:E13)</f>
        <v>1200</v>
      </c>
      <c r="T5" s="83"/>
      <c r="U5" s="206"/>
      <c r="X5" s="91" t="s">
        <v>45</v>
      </c>
      <c r="Y5" s="87">
        <f>MAX(0.0000000001,IF(AC15&lt;0,AC16,IF(AC16&lt;0,AC15,MIN(AC15:AC16))))</f>
        <v>1E-10</v>
      </c>
      <c r="Z5" s="87">
        <f>2*PI()*Y5+2*($E$12+$E$13)</f>
        <v>3000.0000000006285</v>
      </c>
      <c r="AA5" s="87">
        <f>MIN(PI()*Y5+$E$12+2*$E$13+2*E$15,Z5)</f>
        <v>2700.0000000003142</v>
      </c>
      <c r="AB5" s="87">
        <f>AB26</f>
        <v>0</v>
      </c>
      <c r="AC5" s="88">
        <f>AA5-AB5</f>
        <v>2700.0000000003142</v>
      </c>
      <c r="AD5" s="136">
        <f>(E$17-E$18*AG5-E$19/1000*(E$12+2*Y5))*G$19</f>
        <v>470.58299172369254</v>
      </c>
      <c r="AE5" s="89">
        <f>MAX(0,Y5-0.75*G$23)</f>
        <v>0</v>
      </c>
      <c r="AF5" s="363">
        <f>($E$12*$E$13+2*AE5*($E$12+$E$13)+PI()*AE5^2)/1000000</f>
        <v>0.36</v>
      </c>
      <c r="AG5" s="90">
        <f>MIN(AF5,($E$12*$E$13+AE5*($E$12+2*$E$13)+PI()*AE5^2/2+E$15*(E$12+2*AE5))/1000000)</f>
        <v>0.36</v>
      </c>
      <c r="AI5" s="43">
        <f>PI()/4*AJ4^2</f>
        <v>113.09733552923255</v>
      </c>
      <c r="AJ5" s="44">
        <v>16</v>
      </c>
    </row>
    <row r="6" spans="1:40" ht="20.25" thickBot="1">
      <c r="A6" s="226"/>
      <c r="B6" s="341"/>
      <c r="C6" s="342" t="str">
        <f ca="1">INTERNAL!$D$6&amp;INTERNAL!$E$6</f>
        <v>Originated from TCC13.xlsm v4.16 on CD                © 2003-19 TCC</v>
      </c>
      <c r="D6" s="343"/>
      <c r="E6" s="344"/>
      <c r="F6" s="345"/>
      <c r="G6" s="304"/>
      <c r="H6" s="346" t="s">
        <v>64</v>
      </c>
      <c r="I6" s="376" t="str">
        <f>INTERNAL!I6</f>
        <v>AP</v>
      </c>
      <c r="J6" s="347" t="s">
        <v>59</v>
      </c>
      <c r="K6" s="348"/>
      <c r="L6" s="377">
        <f>INTERNAL!L6</f>
        <v>3259</v>
      </c>
      <c r="M6" s="231"/>
      <c r="N6" s="1" t="s">
        <v>77</v>
      </c>
      <c r="O6" s="34">
        <f>MIN(2,1+SQRT(200/G23))</f>
        <v>2</v>
      </c>
      <c r="P6" s="78" t="s">
        <v>147</v>
      </c>
      <c r="Q6" s="79" t="str">
        <f>IF(OR(H15=0,H14=0,MAX(IF(H12&lt;0,-H12-E12/2-H15,H12-E12/2),IF(H13&lt;0,-H13-E13/2-H14,H13-E13/2))&gt;6*G23),"NO","YES")</f>
        <v>NO</v>
      </c>
      <c r="R6" s="133" t="s">
        <v>156</v>
      </c>
      <c r="S6" s="134">
        <f>MIN(E12:E13)</f>
        <v>300</v>
      </c>
      <c r="T6" s="1" t="s">
        <v>223</v>
      </c>
      <c r="U6" s="5">
        <f>SQRT(MAX(Y20^2+Y21^2,Z20^2+Z21^2,AA20^2+AA21^2,AB20^2+AB21^2))</f>
        <v>1.4142135623730951E-10</v>
      </c>
      <c r="V6" s="2"/>
      <c r="W6" s="2"/>
      <c r="X6" s="92" t="s">
        <v>46</v>
      </c>
      <c r="Y6" s="93">
        <v>0</v>
      </c>
      <c r="Z6" s="93">
        <f>2*PI()*Y6+2*($E$12+$E$13)</f>
        <v>3000</v>
      </c>
      <c r="AA6" s="93">
        <f>MIN($E$12+2*$E$13+2*E$15,Z6)</f>
        <v>2700</v>
      </c>
      <c r="AB6" s="93">
        <f>AB27</f>
        <v>0</v>
      </c>
      <c r="AC6" s="94">
        <f>MIN(AA6-AB6,$E$12+3*$G$23)</f>
        <v>879</v>
      </c>
      <c r="AD6" s="136">
        <f>(E$17-E$18*AG6-E$19/1000*(E$12+2*Y6))*G$19</f>
        <v>470.58299172369345</v>
      </c>
      <c r="AE6" s="95">
        <v>0</v>
      </c>
      <c r="AF6" s="371"/>
      <c r="AG6" s="96">
        <f>AG3</f>
        <v>0.36</v>
      </c>
      <c r="AI6" s="43">
        <f>PI()/4*AJ5^2</f>
        <v>201.06192982974676</v>
      </c>
      <c r="AJ6" s="44">
        <v>20</v>
      </c>
      <c r="AK6" s="8"/>
      <c r="AL6" s="8"/>
      <c r="AM6" s="8"/>
      <c r="AN6" s="8"/>
    </row>
    <row r="7" spans="1:40" ht="18">
      <c r="A7" s="226"/>
      <c r="B7" s="273"/>
      <c r="C7" s="349"/>
      <c r="D7" s="274"/>
      <c r="E7" s="274"/>
      <c r="F7" s="274"/>
      <c r="G7" s="274"/>
      <c r="H7" s="274"/>
      <c r="I7" s="274"/>
      <c r="J7" s="274"/>
      <c r="K7" s="274"/>
      <c r="L7" s="275"/>
      <c r="M7" s="232"/>
      <c r="O7" s="34"/>
      <c r="P7" s="2"/>
      <c r="Q7" s="2"/>
      <c r="R7" s="2"/>
      <c r="S7" s="2"/>
      <c r="T7" s="2"/>
      <c r="U7" s="2"/>
      <c r="V7" s="2"/>
      <c r="W7" s="2"/>
      <c r="X7" s="611"/>
      <c r="AI7" s="45">
        <f>PI()/4*AJ6^2</f>
        <v>314.15926535897933</v>
      </c>
      <c r="AJ7" s="46">
        <v>25</v>
      </c>
      <c r="AK7" s="8"/>
      <c r="AL7" s="8"/>
      <c r="AM7" s="8"/>
      <c r="AN7" s="8"/>
    </row>
    <row r="8" spans="1:40" ht="19.5">
      <c r="A8" s="226"/>
      <c r="B8" s="276" t="s">
        <v>23</v>
      </c>
      <c r="C8" s="249" t="s">
        <v>68</v>
      </c>
      <c r="D8" s="250" t="s">
        <v>22</v>
      </c>
      <c r="E8" s="284">
        <f>INTERNAL!E8</f>
        <v>32</v>
      </c>
      <c r="F8" s="263" t="s">
        <v>40</v>
      </c>
      <c r="G8" s="264"/>
      <c r="H8" s="255"/>
      <c r="I8" s="332" t="s">
        <v>70</v>
      </c>
      <c r="J8" s="255"/>
      <c r="K8" s="255"/>
      <c r="L8" s="278"/>
      <c r="M8" s="233"/>
      <c r="N8" s="458" t="s">
        <v>101</v>
      </c>
      <c r="R8" s="459" t="s">
        <v>257</v>
      </c>
      <c r="S8" s="40">
        <f>5+IF(MAX(E13/2,E13/2+E15)&lt;G23,0,2)</f>
        <v>7</v>
      </c>
      <c r="U8" s="459" t="s">
        <v>256</v>
      </c>
      <c r="V8" s="40">
        <f>2+S8</f>
        <v>9</v>
      </c>
      <c r="W8" s="2"/>
      <c r="Y8" s="694" t="s">
        <v>420</v>
      </c>
      <c r="AJ8" s="8"/>
      <c r="AK8" s="8"/>
      <c r="AL8" s="8"/>
      <c r="AM8" s="8"/>
      <c r="AN8" s="8"/>
    </row>
    <row r="9" spans="1:40" ht="18">
      <c r="A9" s="226"/>
      <c r="B9" s="279"/>
      <c r="C9" s="249" t="s">
        <v>69</v>
      </c>
      <c r="D9" s="250" t="s">
        <v>22</v>
      </c>
      <c r="E9" s="284">
        <f>INTERNAL!E9</f>
        <v>500</v>
      </c>
      <c r="F9" s="737" t="str">
        <f>IF(N41=0,"VALID DESIGN","FAILS on "&amp;O37&amp;O38&amp;O39&amp;O40)</f>
        <v>VALID DESIGN</v>
      </c>
      <c r="G9" s="737"/>
      <c r="H9" s="737"/>
      <c r="I9" s="255"/>
      <c r="J9" s="255"/>
      <c r="K9" s="255"/>
      <c r="L9" s="278"/>
      <c r="M9" s="260" t="s">
        <v>32</v>
      </c>
      <c r="N9" s="78" t="s">
        <v>271</v>
      </c>
      <c r="O9" s="502">
        <f>CEILING(0.19*$G23,5)</f>
        <v>40</v>
      </c>
      <c r="P9" s="115" t="s">
        <v>4</v>
      </c>
      <c r="Q9" s="49" t="s">
        <v>116</v>
      </c>
      <c r="R9" s="124">
        <f>((S5^2+S6^2)/4+D35*(S5+S6)+2*D35^2)/(S5+2*D35)</f>
        <v>390.68345323741005</v>
      </c>
      <c r="S9" s="51" t="s">
        <v>4</v>
      </c>
      <c r="T9" s="49" t="s">
        <v>116</v>
      </c>
      <c r="U9" s="124">
        <f>(S5+S6+4*D35-SQRT((S5+S6+4*D35)^2-4*((S5^2+S6^2)/4+D35*(S5+S6)+2*D35^2)))/2</f>
        <v>356.43337998134268</v>
      </c>
      <c r="V9" s="51" t="s">
        <v>4</v>
      </c>
      <c r="W9" s="2"/>
      <c r="Y9" s="84">
        <f>4*G23</f>
        <v>772</v>
      </c>
      <c r="Z9" s="81">
        <f>2*PI()*Y9+2*($E$12+$E$13)</f>
        <v>7850.6190571426405</v>
      </c>
      <c r="AA9" s="81">
        <f>MIN(PI()*Y9+$E$12+2*$E$13+2*E$15,Z9)</f>
        <v>5125.3095285713207</v>
      </c>
      <c r="AB9" s="81">
        <f>AB25</f>
        <v>0</v>
      </c>
      <c r="AC9" s="82">
        <f>AA9-AB9</f>
        <v>5125.3095285713207</v>
      </c>
      <c r="AD9" s="244">
        <f>(E$17-E$18*AG9-E$19/1000*(E$12+2*Y9))*G$19</f>
        <v>400.89599959246647</v>
      </c>
      <c r="AE9" s="84">
        <f>Y9-2*G$23</f>
        <v>386</v>
      </c>
      <c r="AF9" s="159">
        <f>($E$12*$E$13+2*AE9*($E$12+$E$13)+PI()*AE9^2)/1000000</f>
        <v>1.9860847390142649</v>
      </c>
      <c r="AG9" s="85">
        <f>MIN(AF9,($E$12*$E$13+AE9*($E$12+2*$E$13)+PI()*AE9^2/2+E$15*(E$12+2*AE9))/1000000)</f>
        <v>1.6362423695071324</v>
      </c>
      <c r="AH9" s="690">
        <f>(1000*AD9/AC9/G$23)/I$25</f>
        <v>0.54085726407094548</v>
      </c>
      <c r="AJ9" s="8"/>
      <c r="AK9" s="8"/>
      <c r="AL9" s="8"/>
      <c r="AM9" s="8"/>
      <c r="AN9" s="8"/>
    </row>
    <row r="10" spans="1:40" ht="18">
      <c r="A10" s="226"/>
      <c r="B10" s="279"/>
      <c r="C10" s="484"/>
      <c r="D10" s="249" t="s">
        <v>260</v>
      </c>
      <c r="E10" s="251" t="str">
        <f>INTERNAL!E11</f>
        <v>A</v>
      </c>
      <c r="F10" s="262" t="str">
        <f>IF(N38=1,"Increase As?",IF(E8&gt;Refs!D12,"fck too high","."))</f>
        <v>.</v>
      </c>
      <c r="G10" s="262"/>
      <c r="H10" s="255"/>
      <c r="I10" s="255"/>
      <c r="J10" s="255"/>
      <c r="K10" s="255"/>
      <c r="L10" s="278"/>
      <c r="M10" s="358"/>
      <c r="N10" s="114" t="s">
        <v>113</v>
      </c>
      <c r="O10" s="105">
        <f>MAX(0,(I26-0.75*I25)/1.5/Q4*AC3)</f>
        <v>0.55138145933111538</v>
      </c>
      <c r="P10" s="115" t="s">
        <v>4</v>
      </c>
      <c r="Q10" s="52" t="s">
        <v>152</v>
      </c>
      <c r="R10" s="54">
        <f>0.08*SQRT($E8)/$E9/1.5*R9</f>
        <v>0.23573753094958944</v>
      </c>
      <c r="S10" s="51" t="s">
        <v>4</v>
      </c>
      <c r="T10" s="52" t="s">
        <v>152</v>
      </c>
      <c r="U10" s="54">
        <f>0.08*SQRT($E8)/$E9/1.5*U9</f>
        <v>0.21507111255556172</v>
      </c>
      <c r="V10" s="132" t="s">
        <v>4</v>
      </c>
      <c r="W10" s="2"/>
      <c r="Y10" s="89">
        <f>Y9*AH9</f>
        <v>417.54180786276993</v>
      </c>
      <c r="Z10" s="87">
        <f>2*PI()*Y10+2*($E$12+$E$13)</f>
        <v>5623.4925522965577</v>
      </c>
      <c r="AA10" s="87">
        <f>MIN(PI()*Y10+$E$12+2*$E$13+2*E$15,Z10)</f>
        <v>4011.7462761482789</v>
      </c>
      <c r="AB10" s="87">
        <f>AB$9*Y10/Y$9</f>
        <v>0</v>
      </c>
      <c r="AC10" s="88">
        <f>AA10-AB10</f>
        <v>4011.7462761482789</v>
      </c>
      <c r="AD10" s="691">
        <f>(E$17-E$18*AG10-E$19/1000*(E$12+2*Y10))*G$19</f>
        <v>462.41127067058937</v>
      </c>
      <c r="AE10" s="89">
        <f>Y10-2*G$23</f>
        <v>31.541807862769929</v>
      </c>
      <c r="AF10" s="696">
        <f>($E$12*$E$13+2*AE10*($E$12+$E$13)+PI()*AE10^2)/1000000</f>
        <v>0.45775094901631191</v>
      </c>
      <c r="AG10" s="90">
        <f>MIN(AF10,($E$12*$E$13+AE10*($E$12+2*$E$13)+PI()*AE10^2/2+E$15*(E$12+2*AE10))/1000000)</f>
        <v>0.44672564394347986</v>
      </c>
      <c r="AH10" s="692">
        <f>(1000*AD10/AC10/G$23)/I$25</f>
        <v>0.79701408352404046</v>
      </c>
      <c r="AJ10" s="8"/>
      <c r="AK10" s="8"/>
      <c r="AL10" s="8"/>
      <c r="AM10" s="8"/>
      <c r="AN10" s="8"/>
    </row>
    <row r="11" spans="1:40" ht="18">
      <c r="A11" s="226"/>
      <c r="B11" s="279"/>
      <c r="C11" s="255"/>
      <c r="D11" s="255"/>
      <c r="E11" s="280"/>
      <c r="F11" s="255"/>
      <c r="G11" s="255"/>
      <c r="H11" s="255"/>
      <c r="I11" s="255"/>
      <c r="J11" s="255"/>
      <c r="K11" s="255"/>
      <c r="L11" s="278"/>
      <c r="M11" s="500"/>
      <c r="N11" s="114" t="s">
        <v>153</v>
      </c>
      <c r="O11" s="101">
        <f>MAX(3,CEILING((E13+O9+MIN(O9,E15-40))/1.5/G23+1,1))</f>
        <v>6</v>
      </c>
      <c r="P11" s="115" t="s">
        <v>2</v>
      </c>
      <c r="Q11" s="114" t="s">
        <v>280</v>
      </c>
      <c r="R11" s="101">
        <f>VLOOKUP(R13/S8*$G23/2,$AI1:$AJ7,2)</f>
        <v>8</v>
      </c>
      <c r="S11" s="115" t="s">
        <v>4</v>
      </c>
      <c r="T11" s="114" t="s">
        <v>280</v>
      </c>
      <c r="U11" s="101">
        <f>VLOOKUP(U13/V8*$G23/2,$AI1:$AJ7,2)</f>
        <v>8</v>
      </c>
      <c r="V11" s="115" t="s">
        <v>4</v>
      </c>
      <c r="W11" s="2"/>
      <c r="Y11" s="89">
        <f>Y10*AH10</f>
        <v>332.78670132671658</v>
      </c>
      <c r="Z11" s="87">
        <f>2*PI()*Y11+2*($E$12+$E$13)</f>
        <v>5090.960512200787</v>
      </c>
      <c r="AA11" s="87">
        <f>MIN(PI()*Y11+$E$12+2*$E$13+2*E$15,Z11)</f>
        <v>3745.4802561003935</v>
      </c>
      <c r="AB11" s="87">
        <f>AB$9*Y11/Y$9</f>
        <v>0</v>
      </c>
      <c r="AC11" s="88">
        <f>AA11-AB11</f>
        <v>3745.4802561003935</v>
      </c>
      <c r="AD11" s="691">
        <f>(E$17-E$18*AG11-E$19/1000*(E$12+2*Y11))*G$19</f>
        <v>474.82359780672459</v>
      </c>
      <c r="AE11" s="89">
        <f>Y11-2*G$23</f>
        <v>-53.213298673283418</v>
      </c>
      <c r="AF11" s="696">
        <f>($E$12*$E$13+2*AE11*($E$12+$E$13)+PI()*AE11^2)/1000000</f>
        <v>0.20925601101477162</v>
      </c>
      <c r="AG11" s="90">
        <f>MIN(AF11,($E$12*$E$13+AE11*($E$12+2*$E$13)+PI()*AE11^2/2+E$15*(E$12+2*AE11))/1000000)</f>
        <v>0.20925601101477162</v>
      </c>
      <c r="AH11" s="692">
        <f>(1000*AD11/AC11/G$23)/I$25</f>
        <v>0.87658861376326047</v>
      </c>
      <c r="AJ11" s="8"/>
      <c r="AK11" s="8"/>
      <c r="AL11" s="8"/>
      <c r="AM11" s="8"/>
      <c r="AN11" s="8"/>
    </row>
    <row r="12" spans="1:40" ht="18">
      <c r="A12" s="226"/>
      <c r="B12" s="276" t="s">
        <v>24</v>
      </c>
      <c r="C12" s="249" t="s">
        <v>5</v>
      </c>
      <c r="D12" s="250" t="s">
        <v>4</v>
      </c>
      <c r="E12" s="251">
        <v>300</v>
      </c>
      <c r="F12" s="249" t="s">
        <v>7</v>
      </c>
      <c r="G12" s="250" t="s">
        <v>4</v>
      </c>
      <c r="H12" s="251">
        <v>0</v>
      </c>
      <c r="I12" s="255"/>
      <c r="J12" s="255"/>
      <c r="K12" s="255"/>
      <c r="L12" s="278"/>
      <c r="M12" s="612"/>
      <c r="N12" s="114" t="s">
        <v>154</v>
      </c>
      <c r="O12" s="101">
        <f>MAX(3,CEILING((E12+2*O9)/1.5/G23+1,1))</f>
        <v>3</v>
      </c>
      <c r="P12" s="115" t="s">
        <v>2</v>
      </c>
      <c r="Q12" s="52" t="s">
        <v>97</v>
      </c>
      <c r="R12" s="53">
        <f>IF(INTERNAL!AI9=INTERNAL!AI1,R11,INTERNAL!AI10)</f>
        <v>8</v>
      </c>
      <c r="S12" s="51" t="s">
        <v>4</v>
      </c>
      <c r="T12" s="52" t="s">
        <v>97</v>
      </c>
      <c r="U12" s="53">
        <f>IF(INTERNAL!AI9=INTERNAL!AI1,U11,INTERNAL!AI10)</f>
        <v>8</v>
      </c>
      <c r="V12" s="51" t="s">
        <v>4</v>
      </c>
      <c r="W12" s="2"/>
      <c r="Y12" s="89">
        <f>Y11*AH11</f>
        <v>291.7170331948347</v>
      </c>
      <c r="Z12" s="87">
        <f>2*PI()*Y12+2*($E$12+$E$13)</f>
        <v>4832.9121768238056</v>
      </c>
      <c r="AA12" s="87">
        <f>MIN(PI()*Y12+$E$12+2*$E$13+2*E$15,Z12)</f>
        <v>3616.4560884119028</v>
      </c>
      <c r="AB12" s="87">
        <f>AB$9*Y12/Y$9</f>
        <v>0</v>
      </c>
      <c r="AC12" s="88">
        <f>AA12-AB12</f>
        <v>3616.4560884119028</v>
      </c>
      <c r="AD12" s="691">
        <f>(E$17-E$18*AG12-E$19/1000*(E$12+2*Y12))*G$19</f>
        <v>480.30550074718462</v>
      </c>
      <c r="AE12" s="89">
        <f>Y12-2*G$23</f>
        <v>-94.282966805165302</v>
      </c>
      <c r="AF12" s="696">
        <f>($E$12*$E$13+2*AE12*($E$12+$E$13)+PI()*AE12^2)/1000000</f>
        <v>0.10507758950964349</v>
      </c>
      <c r="AG12" s="90">
        <f>MIN(AF12,($E$12*$E$13+AE12*($E$12+2*$E$13)+PI()*AE12^2/2+E$15*(E$12+2*AE12))/1000000)</f>
        <v>0.10507758950964349</v>
      </c>
      <c r="AH12" s="692">
        <f>(1000*AD12/AC12/G$23)/I$25</f>
        <v>0.91834403015458632</v>
      </c>
      <c r="AJ12" s="8"/>
      <c r="AK12" s="8"/>
      <c r="AL12" s="8"/>
      <c r="AM12" s="8"/>
      <c r="AN12" s="8"/>
    </row>
    <row r="13" spans="1:40" ht="18">
      <c r="A13" s="226"/>
      <c r="B13" s="279"/>
      <c r="C13" s="249" t="s">
        <v>6</v>
      </c>
      <c r="D13" s="250" t="s">
        <v>4</v>
      </c>
      <c r="E13" s="251">
        <v>1200</v>
      </c>
      <c r="F13" s="249" t="s">
        <v>8</v>
      </c>
      <c r="G13" s="250" t="s">
        <v>4</v>
      </c>
      <c r="H13" s="251">
        <v>0</v>
      </c>
      <c r="I13" s="255"/>
      <c r="J13" s="255"/>
      <c r="K13" s="255"/>
      <c r="L13" s="278"/>
      <c r="M13" s="258" t="str">
        <f>IF(E8&gt;Refs!L12,Refs!G12,"√")</f>
        <v>√</v>
      </c>
      <c r="N13" s="114" t="s">
        <v>280</v>
      </c>
      <c r="O13" s="101">
        <f>VLOOKUP(MAX(O10,O15)/(2*O18+O19)*$G23/2,AI1:AJ7,2)</f>
        <v>8</v>
      </c>
      <c r="P13" s="115" t="s">
        <v>4</v>
      </c>
      <c r="Q13" s="52" t="s">
        <v>113</v>
      </c>
      <c r="R13" s="105">
        <f>MAX(R10,($I26-0.75*$I25)/1.5/$Q4*$AC3)</f>
        <v>0.55138145933111538</v>
      </c>
      <c r="S13" s="51" t="s">
        <v>4</v>
      </c>
      <c r="T13" s="52" t="s">
        <v>113</v>
      </c>
      <c r="U13" s="54">
        <f>MAX(U10,($I26-0.75*$I25)/1.5/$Q4*$AC3)</f>
        <v>0.55138145933111538</v>
      </c>
      <c r="V13" s="51" t="s">
        <v>4</v>
      </c>
      <c r="W13" s="2"/>
      <c r="Y13" s="695">
        <f>Y12*AH12</f>
        <v>267.89659592888376</v>
      </c>
      <c r="Z13" s="93">
        <f>2*PI()*Y13+2*($E$12+$E$13)</f>
        <v>4683.2439553837885</v>
      </c>
      <c r="AA13" s="93">
        <f>MIN(PI()*Y13+$E$12+2*$E$13+2*E$15,Z13)</f>
        <v>3541.6219776918942</v>
      </c>
      <c r="AB13" s="93">
        <f>AB$9*Y13/Y$9</f>
        <v>0</v>
      </c>
      <c r="AC13" s="94">
        <f>AA13-AB13</f>
        <v>3541.6219776918942</v>
      </c>
      <c r="AD13" s="245">
        <f>(E$17-E$18*AG13-E$19/1000*(E$12+2*Y13))*G$19</f>
        <v>483.24750269817127</v>
      </c>
      <c r="AE13" s="95">
        <f>Y13-2*G$23</f>
        <v>-118.10340407111624</v>
      </c>
      <c r="AF13" s="160">
        <f>($E$12*$E$13+2*AE13*($E$12+$E$13)+PI()*AE13^2)/1000000</f>
        <v>4.9510022905367032E-2</v>
      </c>
      <c r="AG13" s="96">
        <f>MIN(AF13,($E$12*$E$13+AE13*($E$12+2*$E$13)+PI()*AE13^2/2+E$15*(E$12+2*AE13))/1000000)</f>
        <v>4.9510022905367032E-2</v>
      </c>
      <c r="AH13" s="693">
        <f>(1000*AD13/AC13/G$23)/I$25</f>
        <v>0.94349251086725272</v>
      </c>
      <c r="AJ13" s="8"/>
      <c r="AK13" s="8"/>
      <c r="AL13" s="8"/>
      <c r="AM13" s="8"/>
      <c r="AN13" s="8"/>
    </row>
    <row r="14" spans="1:40" ht="18">
      <c r="A14" s="226"/>
      <c r="B14" s="279"/>
      <c r="C14" s="255"/>
      <c r="D14" s="255"/>
      <c r="E14" s="255"/>
      <c r="F14" s="249" t="s">
        <v>49</v>
      </c>
      <c r="G14" s="250" t="s">
        <v>4</v>
      </c>
      <c r="H14" s="251">
        <v>0</v>
      </c>
      <c r="I14" s="255"/>
      <c r="J14" s="255"/>
      <c r="K14" s="255"/>
      <c r="L14" s="278"/>
      <c r="M14" s="258" t="str">
        <f>IF(AND(H12&lt;E12/2,H13+H14&gt;-E13/2,H14+H15&gt;0),"Invalid hole location","√")</f>
        <v>√</v>
      </c>
      <c r="N14" s="114" t="s">
        <v>97</v>
      </c>
      <c r="O14" s="101">
        <f>IF(INTERNAL!AI9=INTERNAL!AI1,O13,INTERNAL!AI10)</f>
        <v>8</v>
      </c>
      <c r="P14" s="115" t="s">
        <v>4</v>
      </c>
      <c r="Q14" s="52" t="s">
        <v>111</v>
      </c>
      <c r="R14" s="104">
        <f>FLOOR(MIN(PI()/4*R12^2*S8/R13,0.75*$G23),5)</f>
        <v>140</v>
      </c>
      <c r="S14" s="51" t="s">
        <v>4</v>
      </c>
      <c r="T14" s="52" t="s">
        <v>111</v>
      </c>
      <c r="U14" s="50">
        <f>FLOOR(MIN(PI()/4*U12^2*V8/U13,0.75*$G23),5)</f>
        <v>140</v>
      </c>
      <c r="V14" s="51" t="s">
        <v>4</v>
      </c>
      <c r="W14" s="2"/>
      <c r="X14" s="2"/>
      <c r="Y14" s="2"/>
      <c r="AA14" s="8" t="s">
        <v>52</v>
      </c>
      <c r="AB14" s="8" t="s">
        <v>54</v>
      </c>
      <c r="AE14" s="8"/>
      <c r="AF14" s="8"/>
      <c r="AG14" s="8"/>
      <c r="AH14" s="8"/>
      <c r="AI14" s="8"/>
      <c r="AJ14" s="8"/>
      <c r="AK14" s="8"/>
      <c r="AL14" s="8"/>
      <c r="AM14" s="8"/>
      <c r="AN14" s="8"/>
    </row>
    <row r="15" spans="1:40" ht="19.5">
      <c r="A15" s="226"/>
      <c r="B15" s="279"/>
      <c r="C15" s="249" t="s">
        <v>56</v>
      </c>
      <c r="D15" s="250" t="s">
        <v>4</v>
      </c>
      <c r="E15" s="251">
        <v>0</v>
      </c>
      <c r="F15" s="249" t="s">
        <v>50</v>
      </c>
      <c r="G15" s="250" t="s">
        <v>4</v>
      </c>
      <c r="H15" s="251">
        <v>0</v>
      </c>
      <c r="I15" s="255"/>
      <c r="J15" s="255"/>
      <c r="K15" s="255"/>
      <c r="L15" s="278"/>
      <c r="M15" s="258" t="str">
        <f>IF(MAX(H12-E12/2,H13-E13/2)&gt;6*G23,"Hole not relevant - remove it.","√")</f>
        <v>√</v>
      </c>
      <c r="N15" s="114" t="s">
        <v>152</v>
      </c>
      <c r="O15" s="105">
        <f>0.08*SQRT(E8)/E9/1.5*(2*O21+O22)/3</f>
        <v>0.13475883901012961</v>
      </c>
      <c r="P15" s="115" t="s">
        <v>4</v>
      </c>
      <c r="Q15" s="52" t="s">
        <v>112</v>
      </c>
      <c r="R15" s="105">
        <f>PI()/4*R12^2*S8/R14</f>
        <v>2.5132741228718345</v>
      </c>
      <c r="S15" s="51" t="s">
        <v>4</v>
      </c>
      <c r="T15" s="52" t="s">
        <v>112</v>
      </c>
      <c r="U15" s="54">
        <f>PI()/4*U12^2*V8/U14</f>
        <v>3.2313524436923586</v>
      </c>
      <c r="V15" s="51" t="s">
        <v>4</v>
      </c>
      <c r="W15" s="2"/>
      <c r="X15" s="242" t="s">
        <v>3</v>
      </c>
      <c r="Y15" s="242" t="s">
        <v>239</v>
      </c>
      <c r="Z15" s="14" t="s">
        <v>51</v>
      </c>
      <c r="AA15" s="30" t="str">
        <f>IF(AND(OR(H12=E12/2,H12+H15=-E12/2),H13&lt;E13/2,H13+H14&gt;-E13/2),"Y","N")</f>
        <v>N</v>
      </c>
      <c r="AB15" s="159">
        <f>IF(AA15="Y",MIN(H14,E13/2+IF(H13&lt;0,H14+H13,-H13)),0)</f>
        <v>0</v>
      </c>
      <c r="AC15" s="10">
        <f>IF(H12&gt;=0,H12,-H12-H15)-E12/2</f>
        <v>-150</v>
      </c>
      <c r="AG15" s="8"/>
      <c r="AH15" s="8"/>
      <c r="AI15" s="8"/>
      <c r="AJ15" s="8"/>
      <c r="AK15" s="8"/>
      <c r="AL15" s="8"/>
      <c r="AM15" s="8"/>
      <c r="AN15" s="8"/>
    </row>
    <row r="16" spans="1:40" ht="18">
      <c r="A16" s="226"/>
      <c r="B16" s="279"/>
      <c r="C16" s="249"/>
      <c r="D16" s="250"/>
      <c r="E16" s="251"/>
      <c r="F16" s="249"/>
      <c r="G16" s="250"/>
      <c r="H16" s="251"/>
      <c r="I16" s="255"/>
      <c r="J16" s="255"/>
      <c r="K16" s="255"/>
      <c r="L16" s="278"/>
      <c r="M16" s="258" t="str">
        <f>IF(H12&lt;-H15/2,"Hole must not be left of CL","√")</f>
        <v>√</v>
      </c>
      <c r="N16" s="83"/>
      <c r="O16" s="83"/>
      <c r="P16" s="83"/>
      <c r="Q16" s="125" t="s">
        <v>158</v>
      </c>
      <c r="R16" s="130">
        <f>IF(SQRT($E12*$E13/PI())+$D35+R31&gt;$U6+$G23,R31,R32)</f>
        <v>19.961111828641208</v>
      </c>
      <c r="S16" s="214" t="s">
        <v>4</v>
      </c>
      <c r="T16" s="215" t="s">
        <v>158</v>
      </c>
      <c r="U16" s="130">
        <f>IF(SQRT($E12*$E13/PI())+$D35+U31&gt;$U6+$G23,U31,U32)</f>
        <v>12.962913144534184</v>
      </c>
      <c r="V16" s="48" t="s">
        <v>4</v>
      </c>
      <c r="W16" s="2"/>
      <c r="X16" s="97">
        <v>1</v>
      </c>
      <c r="Y16" s="369">
        <f>1000*(E$17-E$18*AG3)*G$19/AC3/G$23</f>
        <v>0.62504084055422149</v>
      </c>
      <c r="Z16" s="14" t="s">
        <v>53</v>
      </c>
      <c r="AA16" s="32" t="str">
        <f>IF(AND(OR(H13=E13/2,H13+H14=-E13/2),H12&lt;E12/2,H12+H15&gt;-E12/2),"Y","N")</f>
        <v>N</v>
      </c>
      <c r="AB16" s="160">
        <f>IF(AA16="Y",MIN(H15,E12/2+IF(H12&lt;0,H15+H12,-H15)),0)</f>
        <v>0</v>
      </c>
      <c r="AC16" s="28">
        <f>IF(H13&gt;=0,H13,-H13-H14)-E13/2</f>
        <v>-600</v>
      </c>
      <c r="AD16" s="2"/>
      <c r="AG16" s="8"/>
      <c r="AH16" s="8"/>
      <c r="AI16" s="8"/>
      <c r="AJ16" s="8"/>
      <c r="AK16" s="8"/>
      <c r="AL16" s="8"/>
      <c r="AM16" s="8"/>
      <c r="AN16" s="8"/>
    </row>
    <row r="17" spans="1:47" ht="19.5">
      <c r="A17" s="226"/>
      <c r="B17" s="276" t="s">
        <v>30</v>
      </c>
      <c r="C17" s="249" t="s">
        <v>74</v>
      </c>
      <c r="D17" s="250" t="s">
        <v>12</v>
      </c>
      <c r="E17" s="251">
        <v>291.3</v>
      </c>
      <c r="F17" s="249" t="s">
        <v>314</v>
      </c>
      <c r="G17" s="250" t="s">
        <v>303</v>
      </c>
      <c r="H17" s="252">
        <v>-36.119999999999997</v>
      </c>
      <c r="I17" s="253"/>
      <c r="J17" s="350"/>
      <c r="K17" s="351"/>
      <c r="L17" s="278"/>
      <c r="M17" s="259"/>
      <c r="N17" s="114" t="s">
        <v>111</v>
      </c>
      <c r="O17" s="101">
        <f>FLOOR(MIN(PI()/4*O14^2*(2*O18+O19)/MAX(O15,O10),0.75*$G23),5)</f>
        <v>140</v>
      </c>
      <c r="P17" s="115" t="s">
        <v>4</v>
      </c>
      <c r="Q17" s="125" t="s">
        <v>157</v>
      </c>
      <c r="R17" s="131">
        <f>R14*IF(R16-1.5*G23/SIN(3*PI()/8)&lt;0,0,CEILING((R16-1.5*G23/SIN(3*PI()/8))/R14,1))</f>
        <v>0</v>
      </c>
      <c r="S17" s="48" t="s">
        <v>4</v>
      </c>
      <c r="T17" s="125" t="s">
        <v>157</v>
      </c>
      <c r="U17" s="127">
        <f>U14*IF(U16-1.5*G23/SIN(5*PI()/12)&lt;0,0,CEILING((U16-1.5*G$23/SIN(5*PI()/12))/U14,1))</f>
        <v>0</v>
      </c>
      <c r="V17" s="48" t="s">
        <v>4</v>
      </c>
      <c r="W17" s="2"/>
      <c r="X17" s="77"/>
      <c r="Y17" s="77"/>
      <c r="Z17" s="2"/>
      <c r="AA17" s="3"/>
      <c r="AB17" s="3"/>
      <c r="AG17" s="8"/>
      <c r="AH17" s="8"/>
      <c r="AI17" s="8"/>
      <c r="AJ17" s="8"/>
      <c r="AK17" s="8"/>
      <c r="AL17" s="8"/>
      <c r="AM17" s="8"/>
      <c r="AN17" s="8"/>
    </row>
    <row r="18" spans="1:47" ht="18" customHeight="1">
      <c r="A18" s="226"/>
      <c r="B18" s="279"/>
      <c r="C18" s="249" t="s">
        <v>11</v>
      </c>
      <c r="D18" s="250" t="s">
        <v>26</v>
      </c>
      <c r="E18" s="254">
        <f>INTERNAL!E17</f>
        <v>29.1</v>
      </c>
      <c r="F18" s="249" t="s">
        <v>313</v>
      </c>
      <c r="G18" s="250" t="s">
        <v>303</v>
      </c>
      <c r="H18" s="252">
        <f>-H1</f>
        <v>0</v>
      </c>
      <c r="I18" s="728" t="str">
        <f>IF(MAX(E12/E13,E13/E12)&gt;4,"This is a wall",".")</f>
        <v>.</v>
      </c>
      <c r="J18" s="728"/>
      <c r="K18" s="728"/>
      <c r="L18" s="729"/>
      <c r="M18" s="726" t="s">
        <v>377</v>
      </c>
      <c r="N18" s="114" t="s">
        <v>98</v>
      </c>
      <c r="O18" s="101">
        <f>O11</f>
        <v>6</v>
      </c>
      <c r="P18" s="115" t="s">
        <v>2</v>
      </c>
      <c r="Q18" s="125" t="s">
        <v>159</v>
      </c>
      <c r="R18" s="126">
        <f>1.5*G23/SIN(3*PI()/8)+R17</f>
        <v>313.35254198464804</v>
      </c>
      <c r="S18" s="48" t="s">
        <v>4</v>
      </c>
      <c r="T18" s="125" t="s">
        <v>159</v>
      </c>
      <c r="U18" s="126">
        <f>1.5*$G23/SIN(5*PI()/12)+U17</f>
        <v>299.71245422871903</v>
      </c>
      <c r="V18" s="48" t="s">
        <v>4</v>
      </c>
      <c r="W18" s="2"/>
      <c r="X18" s="460" t="s">
        <v>204</v>
      </c>
      <c r="Y18" s="77"/>
      <c r="Z18" s="2"/>
      <c r="AA18" s="3"/>
      <c r="AB18" s="3"/>
      <c r="AG18" s="8"/>
      <c r="AH18" s="8"/>
      <c r="AI18" s="8"/>
      <c r="AJ18" s="8"/>
      <c r="AK18" s="8"/>
      <c r="AL18" s="8"/>
      <c r="AM18" s="8"/>
      <c r="AN18" s="8"/>
    </row>
    <row r="19" spans="1:47" ht="18">
      <c r="A19" s="226"/>
      <c r="B19" s="282"/>
      <c r="C19" s="249" t="s">
        <v>415</v>
      </c>
      <c r="D19" s="250" t="s">
        <v>414</v>
      </c>
      <c r="E19" s="254">
        <v>2.8</v>
      </c>
      <c r="F19" s="689" t="s">
        <v>304</v>
      </c>
      <c r="G19" s="533">
        <f>IF(O3=O2,J43,1.4)</f>
        <v>1.6807495847037452</v>
      </c>
      <c r="H19" s="538" t="str">
        <f>IF(O3=O2,K45,"braced structure, adjacent spans differ no more than 25%")</f>
        <v>to expression (6.44)</v>
      </c>
      <c r="I19" s="621"/>
      <c r="J19" s="621"/>
      <c r="K19" s="621"/>
      <c r="L19" s="622"/>
      <c r="M19" s="727"/>
      <c r="N19" s="114" t="s">
        <v>99</v>
      </c>
      <c r="O19" s="101">
        <f>O12</f>
        <v>3</v>
      </c>
      <c r="P19" s="115" t="s">
        <v>2</v>
      </c>
      <c r="Q19" s="47" t="s">
        <v>114</v>
      </c>
      <c r="R19" s="128">
        <f>SQRT(R9^2+R9*R17*SQRT(2)+R17^2*(2-SQRT(2)))</f>
        <v>390.68345323741005</v>
      </c>
      <c r="S19" s="48" t="s">
        <v>4</v>
      </c>
      <c r="T19" s="47" t="s">
        <v>114</v>
      </c>
      <c r="U19" s="128">
        <f>SQRT((U9+U17/2)^2+(U17-U17*COS(PI()/6))^2)</f>
        <v>356.43337998134268</v>
      </c>
      <c r="V19" s="48" t="s">
        <v>4</v>
      </c>
      <c r="W19" s="2"/>
      <c r="X19" s="2"/>
      <c r="Y19" s="153" t="s">
        <v>181</v>
      </c>
      <c r="Z19" s="154" t="s">
        <v>182</v>
      </c>
      <c r="AA19" s="154" t="s">
        <v>183</v>
      </c>
      <c r="AB19" s="155" t="s">
        <v>184</v>
      </c>
      <c r="AC19" s="175" t="s">
        <v>203</v>
      </c>
      <c r="AD19" s="3" t="str">
        <f>IF(IF(AC20=0,10000000000,ABS(AC21/AC20))&lt;=1,"EW","NS")</f>
        <v>NS</v>
      </c>
      <c r="AG19" s="8"/>
      <c r="AH19" s="8"/>
      <c r="AI19" s="8"/>
      <c r="AJ19" s="8"/>
      <c r="AK19" s="8"/>
      <c r="AL19" s="8"/>
      <c r="AM19" s="8"/>
      <c r="AN19" s="8"/>
    </row>
    <row r="20" spans="1:47" ht="19.5">
      <c r="A20" s="226"/>
      <c r="B20" s="282"/>
      <c r="C20" s="249"/>
      <c r="D20" s="533"/>
      <c r="E20" s="538"/>
      <c r="F20" s="255"/>
      <c r="G20" s="255"/>
      <c r="H20" s="249"/>
      <c r="I20" s="621"/>
      <c r="J20" s="621"/>
      <c r="K20" s="621"/>
      <c r="L20" s="622"/>
      <c r="M20" s="727"/>
      <c r="N20" s="114" t="s">
        <v>112</v>
      </c>
      <c r="O20" s="105">
        <f>PI()/4*O14^2*(2*O18+O19)/O17</f>
        <v>5.3855874061539311</v>
      </c>
      <c r="P20" s="115" t="s">
        <v>4</v>
      </c>
      <c r="Q20" s="47" t="s">
        <v>115</v>
      </c>
      <c r="R20" s="106" t="str">
        <f>IF(R19&gt;2*$G23,"INVALID", "VALID")</f>
        <v>INVALID</v>
      </c>
      <c r="T20" s="47" t="s">
        <v>115</v>
      </c>
      <c r="U20" s="63" t="str">
        <f>IF(U19&gt;2*$G23,"INVALID", "VALID")</f>
        <v>VALID</v>
      </c>
      <c r="V20" s="61"/>
      <c r="W20" s="2"/>
      <c r="X20" s="1" t="s">
        <v>185</v>
      </c>
      <c r="Y20" s="71">
        <f>IF(H12-AD20=0,0.0000000001,H12-AD20)</f>
        <v>1E-10</v>
      </c>
      <c r="Z20" s="67">
        <f>IF(H12+H15+AD20=0,0.0000000001,H12+H15+AD20)</f>
        <v>1E-10</v>
      </c>
      <c r="AA20" s="67">
        <f>Y20</f>
        <v>1E-10</v>
      </c>
      <c r="AB20" s="68">
        <f>Z20</f>
        <v>1E-10</v>
      </c>
      <c r="AC20" s="176">
        <f>H12+H15/2</f>
        <v>0</v>
      </c>
      <c r="AD20" s="3">
        <f>IF(AND(AD19="NS",H14&gt;H15),(SQRT(H15*H14)-MIN(H15,H14))/2,0)</f>
        <v>0</v>
      </c>
      <c r="AG20" s="8"/>
      <c r="AH20" s="8"/>
      <c r="AI20" s="8"/>
      <c r="AJ20" s="8"/>
      <c r="AK20" s="8"/>
      <c r="AL20" s="8"/>
      <c r="AM20" s="8"/>
      <c r="AN20" s="8"/>
    </row>
    <row r="21" spans="1:47" ht="18">
      <c r="A21" s="226"/>
      <c r="B21" s="276" t="s">
        <v>25</v>
      </c>
      <c r="C21" s="16"/>
      <c r="D21" s="16"/>
      <c r="E21" s="249" t="s">
        <v>356</v>
      </c>
      <c r="F21" s="250" t="s">
        <v>4</v>
      </c>
      <c r="G21" s="251">
        <f>D22-20-6</f>
        <v>199</v>
      </c>
      <c r="H21" s="249" t="s">
        <v>357</v>
      </c>
      <c r="I21" s="250" t="s">
        <v>29</v>
      </c>
      <c r="J21" s="283">
        <v>1576</v>
      </c>
      <c r="K21" s="492" t="s">
        <v>81</v>
      </c>
      <c r="L21" s="497" t="str">
        <f>"ρx = "&amp;FIXED(J21/G21/10,3)</f>
        <v>ρx = 0.792</v>
      </c>
      <c r="M21" s="360"/>
      <c r="N21" s="113" t="s">
        <v>92</v>
      </c>
      <c r="O21" s="101">
        <f>FLOOR((E13+O9+MIN(O9,E15-40))/(O18-1),1)</f>
        <v>240</v>
      </c>
      <c r="P21" s="115" t="s">
        <v>4</v>
      </c>
      <c r="Q21" s="36" t="s">
        <v>160</v>
      </c>
      <c r="R21" s="59">
        <f>G23*(3*TAN(PI()/8)+2)</f>
        <v>625.82965261402205</v>
      </c>
      <c r="S21" s="60" t="s">
        <v>4</v>
      </c>
      <c r="T21" s="36" t="s">
        <v>160</v>
      </c>
      <c r="U21" s="59">
        <f>G23*(3*TAN(PI()/12)+2)</f>
        <v>541.14258241762002</v>
      </c>
      <c r="V21" s="60" t="s">
        <v>4</v>
      </c>
      <c r="W21" s="2"/>
      <c r="X21" s="1" t="s">
        <v>186</v>
      </c>
      <c r="Y21" s="72">
        <f>IF(H13-AD21=0,0.0000000001,H13-AD21)</f>
        <v>1E-10</v>
      </c>
      <c r="Z21" s="69">
        <f>Y21</f>
        <v>1E-10</v>
      </c>
      <c r="AA21" s="69">
        <f>IF(H13+H14+AD21=0,0.0000000001,H13+H14+AD21)</f>
        <v>1E-10</v>
      </c>
      <c r="AB21" s="70">
        <f>AA21</f>
        <v>1E-10</v>
      </c>
      <c r="AC21" s="178">
        <f>H13+H14/2</f>
        <v>0</v>
      </c>
      <c r="AD21" s="3">
        <f>IF(AND(AD19="EW",H15&gt;H14),(SQRT(H15*H14)-MIN(H15,H14))/2,0)</f>
        <v>0</v>
      </c>
      <c r="AG21" s="8"/>
      <c r="AH21" s="8"/>
      <c r="AI21" s="8"/>
      <c r="AJ21" s="8"/>
      <c r="AK21" s="8"/>
      <c r="AL21" s="8"/>
      <c r="AM21" s="8"/>
      <c r="AN21" s="8"/>
    </row>
    <row r="22" spans="1:47" ht="18">
      <c r="A22" s="226"/>
      <c r="B22" s="493" t="s">
        <v>10</v>
      </c>
      <c r="C22" s="250" t="s">
        <v>4</v>
      </c>
      <c r="D22" s="251">
        <v>225</v>
      </c>
      <c r="E22" s="249" t="s">
        <v>27</v>
      </c>
      <c r="F22" s="250" t="s">
        <v>4</v>
      </c>
      <c r="G22" s="251">
        <f>G21-12</f>
        <v>187</v>
      </c>
      <c r="H22" s="249" t="s">
        <v>28</v>
      </c>
      <c r="I22" s="250" t="s">
        <v>29</v>
      </c>
      <c r="J22" s="283">
        <v>2136</v>
      </c>
      <c r="K22" s="492" t="s">
        <v>80</v>
      </c>
      <c r="L22" s="497" t="str">
        <f>"ρy = "&amp;FIXED(J22/G22/10,3)</f>
        <v>ρy = 1.142</v>
      </c>
      <c r="M22" s="258" t="str">
        <f>IF(D26&gt;IF(γRC&lt;22,0.4,Refs!D14)*O4*O5,"VEd too great","√")</f>
        <v>√</v>
      </c>
      <c r="N22" s="113" t="s">
        <v>93</v>
      </c>
      <c r="O22" s="101">
        <f>FLOOR((E12+2*O9)/(O19-1),1)</f>
        <v>190</v>
      </c>
      <c r="P22" s="115" t="s">
        <v>4</v>
      </c>
      <c r="Q22" s="36" t="s">
        <v>158</v>
      </c>
      <c r="R22" s="62">
        <f>SQRT(2)*(R21*COS(PI()/8)-R9)</f>
        <v>265.1760082638292</v>
      </c>
      <c r="S22" s="60" t="s">
        <v>4</v>
      </c>
      <c r="T22" s="36" t="s">
        <v>158</v>
      </c>
      <c r="U22" s="62">
        <f>2*(U21*COS(PI()/12)-U9)</f>
        <v>332.5404321611943</v>
      </c>
      <c r="V22" s="60" t="s">
        <v>4</v>
      </c>
      <c r="W22" s="2"/>
      <c r="X22" s="1" t="s">
        <v>187</v>
      </c>
      <c r="Y22" s="156">
        <f>MIN(IF(Y20=0,1000000000*SIGN(Y21),Y21/Y20),IF(Z20=0,1000000000*SIGN(Z21),Z21/Z20),IF(AA20=0,1000000000*SIGN(AA21),AA21/AA20),IF(AB20=0,1000000000*SIGN(AB21),AB21/AB20))</f>
        <v>1</v>
      </c>
      <c r="Z22" s="2"/>
      <c r="AA22" s="1" t="s">
        <v>188</v>
      </c>
      <c r="AB22" s="156">
        <f>MAX(IF(Y20=0,1000000000*SIGN(Y21),Y21/Y20),IF(Z20=0,1000000000*SIGN(Z21),Z21/Z20),IF(AA20=0,1000000000*SIGN(AA21),AA21/AA20),IF(AB20=0,1000000000*SIGN(AB21),AB21/AB20))</f>
        <v>1</v>
      </c>
      <c r="AF22" s="8"/>
      <c r="AG22" s="8"/>
      <c r="AH22" s="8"/>
      <c r="AI22" s="8"/>
      <c r="AJ22" s="8"/>
      <c r="AK22" s="8"/>
      <c r="AL22" s="8"/>
      <c r="AM22" s="8"/>
      <c r="AN22" s="8"/>
    </row>
    <row r="23" spans="1:47" ht="18">
      <c r="A23" s="226"/>
      <c r="B23" s="279"/>
      <c r="C23" s="257"/>
      <c r="D23" s="257"/>
      <c r="E23" s="249" t="s">
        <v>90</v>
      </c>
      <c r="F23" s="250" t="s">
        <v>4</v>
      </c>
      <c r="G23" s="284">
        <f>(G21+G22)/2</f>
        <v>193</v>
      </c>
      <c r="H23" s="249"/>
      <c r="I23" s="16"/>
      <c r="J23" s="16"/>
      <c r="K23" s="249" t="s">
        <v>265</v>
      </c>
      <c r="L23" s="702">
        <f>MAX(IF(γRC&lt;22,0.5,0),MIN(2,SQRT(J21/G21*J22/G22)/10))</f>
        <v>0.95111140466964006</v>
      </c>
      <c r="M23" s="258" t="str">
        <f>IF(K26&gt;1,"VEd/VRdc too great","√")</f>
        <v>√</v>
      </c>
      <c r="N23" s="113"/>
      <c r="O23" s="102"/>
      <c r="P23" s="115"/>
      <c r="Q23" s="36" t="s">
        <v>157</v>
      </c>
      <c r="R23" s="59">
        <f>CEILING(R22-1.5*G23/SIN(3*PI()/8),R14)</f>
        <v>0</v>
      </c>
      <c r="S23" s="60" t="s">
        <v>4</v>
      </c>
      <c r="T23" s="36" t="s">
        <v>157</v>
      </c>
      <c r="U23" s="59">
        <f>CEILING(U22-1.5*G23/SIN(5*PI()/12),U14)</f>
        <v>140</v>
      </c>
      <c r="V23" s="60" t="s">
        <v>4</v>
      </c>
      <c r="W23" s="2"/>
      <c r="X23" s="7" t="s">
        <v>178</v>
      </c>
      <c r="Y23" s="7" t="s">
        <v>179</v>
      </c>
      <c r="Z23" s="7" t="s">
        <v>189</v>
      </c>
      <c r="AA23" s="111" t="s">
        <v>190</v>
      </c>
      <c r="AB23" s="7" t="s">
        <v>180</v>
      </c>
      <c r="AC23" s="3"/>
      <c r="AD23" s="3"/>
      <c r="AE23" s="3"/>
      <c r="AF23" s="8"/>
      <c r="AG23" s="8"/>
      <c r="AH23" s="8"/>
      <c r="AI23" s="8"/>
      <c r="AJ23" s="8"/>
      <c r="AK23" s="8"/>
      <c r="AL23" s="8"/>
      <c r="AM23" s="8"/>
      <c r="AN23" s="8"/>
    </row>
    <row r="24" spans="1:47">
      <c r="A24" s="226"/>
      <c r="B24" s="279"/>
      <c r="C24" s="257"/>
      <c r="D24" s="257"/>
      <c r="E24" s="257"/>
      <c r="F24" s="255"/>
      <c r="G24" s="255"/>
      <c r="H24" s="255"/>
      <c r="I24" s="255"/>
      <c r="J24" s="255"/>
      <c r="K24" s="255"/>
      <c r="L24" s="278"/>
      <c r="N24" s="113"/>
      <c r="O24" s="102"/>
      <c r="P24" s="115"/>
      <c r="Q24" s="58" t="s">
        <v>100</v>
      </c>
      <c r="R24" s="108">
        <f>4*G23*(3*TAN(PI()/8)+2)+E13+2*E15</f>
        <v>3703.3186104560882</v>
      </c>
      <c r="S24" s="60" t="s">
        <v>4</v>
      </c>
      <c r="T24" s="58" t="s">
        <v>100</v>
      </c>
      <c r="U24" s="59">
        <f>6*G23*(3*TAN(PI()/12)+2)+$E13+2*$E15</f>
        <v>4446.8554945057203</v>
      </c>
      <c r="V24" s="60" t="s">
        <v>4</v>
      </c>
      <c r="W24" s="2"/>
      <c r="X24" s="143">
        <f>Y3+E$12/2</f>
        <v>536</v>
      </c>
      <c r="Y24" s="64">
        <f>Y3+E$13/2</f>
        <v>986</v>
      </c>
      <c r="Z24" s="144">
        <f>E$12/2/Y24</f>
        <v>0.15212981744421908</v>
      </c>
      <c r="AA24" s="161">
        <f>E$13/2/X24</f>
        <v>1.1194029850746268</v>
      </c>
      <c r="AB24" s="169">
        <f>IF(Q$6="NO",0,SUM(X34:AI34))</f>
        <v>0</v>
      </c>
      <c r="AC24" s="3"/>
      <c r="AD24" s="3"/>
      <c r="AE24" s="3"/>
      <c r="AG24" s="8"/>
      <c r="AH24" s="8"/>
      <c r="AI24" s="8"/>
      <c r="AK24" s="8"/>
      <c r="AL24" s="8"/>
      <c r="AM24" s="8"/>
      <c r="AN24" s="8"/>
    </row>
    <row r="25" spans="1:47" ht="18" customHeight="1">
      <c r="A25" s="226"/>
      <c r="B25" s="276" t="s">
        <v>31</v>
      </c>
      <c r="C25" s="249" t="s">
        <v>417</v>
      </c>
      <c r="D25" s="285">
        <f>E17*G19</f>
        <v>489.60235402420102</v>
      </c>
      <c r="E25" s="256" t="s">
        <v>12</v>
      </c>
      <c r="F25" s="255"/>
      <c r="G25" s="255"/>
      <c r="H25" s="249" t="s">
        <v>347</v>
      </c>
      <c r="I25" s="701">
        <f>MAX(Refs!D10/Refs!D7*Refs!D15*O6*(L23*E8)^0.3333333,Refs!D15*Refs!D11*O6^1.5*SQRT(E8))</f>
        <v>0.74932746000512063</v>
      </c>
      <c r="J25" s="253" t="s">
        <v>22</v>
      </c>
      <c r="K25" s="255"/>
      <c r="L25" s="327" t="s">
        <v>217</v>
      </c>
      <c r="M25" s="730" t="str">
        <f>IF(MAX(E12:E13)&gt;4*G23,"Column size &gt; 4d. For a conservative solution, consider reducing to 4d, using CALCULATE ß option and adding side spurs as required","√")</f>
        <v>Column size &gt; 4d. For a conservative solution, consider reducing to 4d, using CALCULATE ß option and adding side spurs as required</v>
      </c>
      <c r="N25" s="113" t="s">
        <v>110</v>
      </c>
      <c r="O25" s="102">
        <f>O17+D35</f>
        <v>235</v>
      </c>
      <c r="P25" s="116" t="s">
        <v>109</v>
      </c>
      <c r="Q25" s="52" t="s">
        <v>110</v>
      </c>
      <c r="R25" s="101">
        <f>R14+$D35</f>
        <v>235</v>
      </c>
      <c r="S25" s="56" t="s">
        <v>109</v>
      </c>
      <c r="T25" s="52" t="s">
        <v>110</v>
      </c>
      <c r="U25" s="55">
        <f>U14+$D35</f>
        <v>235</v>
      </c>
      <c r="V25" s="56" t="s">
        <v>109</v>
      </c>
      <c r="W25" s="2"/>
      <c r="X25" s="146">
        <f>Y9+E$12/2</f>
        <v>922</v>
      </c>
      <c r="Y25" s="66">
        <f>Y9+E$13/2</f>
        <v>1372</v>
      </c>
      <c r="Z25" s="147">
        <f>E$12/2/Y25</f>
        <v>0.10932944606413994</v>
      </c>
      <c r="AA25" s="162">
        <f>E$13/2/X25</f>
        <v>0.65075921908893708</v>
      </c>
      <c r="AB25" s="170">
        <f>IF(Q$6="NO",0,SUM(X35:AI35))</f>
        <v>0</v>
      </c>
      <c r="AC25" s="157">
        <f>AB25/AA4</f>
        <v>0</v>
      </c>
      <c r="AD25" s="5" t="s">
        <v>191</v>
      </c>
      <c r="AE25" s="158">
        <f>1-AC25</f>
        <v>1</v>
      </c>
      <c r="AG25" s="8"/>
      <c r="AH25" s="8"/>
      <c r="AI25" s="8"/>
      <c r="AK25" s="8"/>
      <c r="AL25" s="8"/>
      <c r="AM25" s="8"/>
      <c r="AN25" s="8"/>
    </row>
    <row r="26" spans="1:47" ht="19.5">
      <c r="A26" s="226"/>
      <c r="B26" s="279"/>
      <c r="C26" s="249" t="str">
        <f>IF(U2&gt;U1,T2,T1)</f>
        <v>At col. face, vEd =</v>
      </c>
      <c r="D26" s="287">
        <f>MAX(U1:U2)</f>
        <v>2.7822173181656296</v>
      </c>
      <c r="E26" s="253" t="s">
        <v>22</v>
      </c>
      <c r="F26" s="255"/>
      <c r="G26" s="255"/>
      <c r="H26" s="249" t="s">
        <v>348</v>
      </c>
      <c r="I26" s="286">
        <f>Y16</f>
        <v>0.62504084055422149</v>
      </c>
      <c r="J26" s="253" t="s">
        <v>22</v>
      </c>
      <c r="K26" s="564">
        <f>I26/I25/Refs!D13</f>
        <v>0.41706788681543194</v>
      </c>
      <c r="L26" s="281"/>
      <c r="M26" s="730"/>
      <c r="N26" s="113" t="s">
        <v>108</v>
      </c>
      <c r="O26" s="503">
        <f>MAX(O25,CEILING((2*G23/SQRT(2)+O9-D35),O17)+D35)</f>
        <v>375</v>
      </c>
      <c r="P26" s="116" t="s">
        <v>102</v>
      </c>
      <c r="Q26" s="49" t="s">
        <v>108</v>
      </c>
      <c r="R26" s="129">
        <f>IF(R20="VALID",R17,R23)+D35</f>
        <v>95</v>
      </c>
      <c r="S26" s="56" t="s">
        <v>102</v>
      </c>
      <c r="T26" s="49" t="s">
        <v>108</v>
      </c>
      <c r="U26" s="221">
        <f>U17+D35</f>
        <v>95</v>
      </c>
      <c r="V26" s="56" t="s">
        <v>102</v>
      </c>
      <c r="W26" s="2"/>
      <c r="X26" s="146">
        <f>Y5+E$12/2</f>
        <v>150.00000000009999</v>
      </c>
      <c r="Y26" s="66">
        <f>Y5+E$13/2</f>
        <v>600.00000000010004</v>
      </c>
      <c r="Z26" s="147">
        <f>E$12/2/Y26</f>
        <v>0.24999999999995831</v>
      </c>
      <c r="AA26" s="162">
        <f>E$13/2/X26</f>
        <v>3.9999999999973337</v>
      </c>
      <c r="AB26" s="170">
        <f>IF(Q$6="NO",0,SUM(X36:AI36))</f>
        <v>0</v>
      </c>
      <c r="AC26" s="3"/>
      <c r="AD26" s="3"/>
      <c r="AE26" s="3"/>
      <c r="AG26" s="8"/>
      <c r="AH26" s="8"/>
      <c r="AI26" s="8"/>
      <c r="AK26" s="8"/>
      <c r="AL26" s="8"/>
      <c r="AM26" s="8"/>
      <c r="AN26" s="8"/>
    </row>
    <row r="27" spans="1:47" ht="18" customHeight="1">
      <c r="A27" s="226"/>
      <c r="B27" s="279"/>
      <c r="C27" s="249"/>
      <c r="D27" s="24"/>
      <c r="E27" s="253"/>
      <c r="F27" s="255"/>
      <c r="G27" s="255"/>
      <c r="H27" s="249" t="s">
        <v>416</v>
      </c>
      <c r="I27" s="21">
        <f>IF(I26&gt;I25,AC4,2*(E13+E15)+E12)</f>
        <v>2700</v>
      </c>
      <c r="J27" s="725" t="str">
        <f>"(≈ "&amp;FIXED(Y4,0)&amp;" from col face)"</f>
        <v>(≈ 269 from col face)</v>
      </c>
      <c r="K27" s="725"/>
      <c r="L27" s="327" t="s">
        <v>218</v>
      </c>
      <c r="M27" s="730"/>
      <c r="N27" s="114" t="s">
        <v>100</v>
      </c>
      <c r="O27" s="103">
        <f>E12+2*E13+4*O9+G23*(4+1.5*PI())+2*MIN(E15,3/8*PI()*G23-O9)</f>
        <v>4541.4910732142453</v>
      </c>
      <c r="P27" s="115" t="s">
        <v>4</v>
      </c>
      <c r="Q27" s="114" t="s">
        <v>100</v>
      </c>
      <c r="R27" s="103">
        <f>IF(R20="VALID",R33,R24)</f>
        <v>3703.3186104560882</v>
      </c>
      <c r="S27" s="115" t="s">
        <v>4</v>
      </c>
      <c r="T27" s="114" t="s">
        <v>100</v>
      </c>
      <c r="U27" s="219">
        <f>U33</f>
        <v>4247.276479052337</v>
      </c>
      <c r="V27" s="51" t="s">
        <v>4</v>
      </c>
      <c r="W27" s="2"/>
      <c r="X27" s="149">
        <f>Y6+E$12/2</f>
        <v>150</v>
      </c>
      <c r="Y27" s="150">
        <f>Y6+E$13/2</f>
        <v>600</v>
      </c>
      <c r="Z27" s="151">
        <f>E$12/2/Y27</f>
        <v>0.25</v>
      </c>
      <c r="AA27" s="163">
        <f>E$13/2/X27</f>
        <v>4</v>
      </c>
      <c r="AB27" s="171">
        <f>IF(Q$6="NO",0,SUM(X37:AI37))</f>
        <v>0</v>
      </c>
      <c r="AG27" s="8"/>
      <c r="AH27" s="8"/>
      <c r="AI27" s="8"/>
      <c r="AK27" s="8"/>
      <c r="AL27" s="8"/>
      <c r="AM27" s="8"/>
      <c r="AN27" s="8"/>
    </row>
    <row r="28" spans="1:47" ht="18">
      <c r="A28" s="226"/>
      <c r="B28" s="288"/>
      <c r="C28" s="625"/>
      <c r="D28" s="256"/>
      <c r="E28" s="255"/>
      <c r="F28" s="255"/>
      <c r="G28" s="255"/>
      <c r="H28" s="255"/>
      <c r="I28" s="257"/>
      <c r="J28" s="257"/>
      <c r="K28" s="256"/>
      <c r="L28" s="289"/>
      <c r="M28" s="359"/>
      <c r="N28" s="464" t="str">
        <f>IF(O28=0,"No solution","ok")</f>
        <v>ok</v>
      </c>
      <c r="O28" s="57">
        <f>IF(OR(O27&lt;$I27,O14=0,O13&gt;O14,INTERNAL!AJ3=INTERNAL!AJ1),0,1)</f>
        <v>1</v>
      </c>
      <c r="P28" s="51"/>
      <c r="Q28" s="464" t="str">
        <f>IF(R28=0,"No solution","ok")</f>
        <v>No solution</v>
      </c>
      <c r="R28" s="109">
        <f>IF(OR(R27&lt;$I27,S28&gt;1.5*$G23,R11&gt;R12),0,1)</f>
        <v>0</v>
      </c>
      <c r="S28" s="213">
        <f>SQRT((R9+R14*SIN(PI()/4))^2+(R14*(1-COS(PI()/4)))^2)</f>
        <v>491.39225894780731</v>
      </c>
      <c r="T28" s="464" t="str">
        <f>IF(U28=0,"No solution","ok")</f>
        <v>No solution</v>
      </c>
      <c r="U28" s="109">
        <f>IF(OR(U27&lt;$I27,V28&gt;1.5*$G23,U11&gt;U12),0,IF(U20="INVALID",2,1))</f>
        <v>0</v>
      </c>
      <c r="V28" s="213">
        <f>SQRT((U9+U14*SIN(PI()/6))^2+(U14*(1-COS(PI()/6)))^2)*IF(U20="INVALID",0.5,1)</f>
        <v>426.84567671930591</v>
      </c>
      <c r="W28" s="2"/>
      <c r="X28" s="2"/>
      <c r="Y28" s="2"/>
      <c r="Z28" s="2"/>
      <c r="AA28" s="2"/>
      <c r="AB28" s="2"/>
      <c r="AG28" s="8"/>
      <c r="AH28" s="8"/>
      <c r="AI28" s="8"/>
      <c r="AJ28" s="164"/>
      <c r="AL28" s="8"/>
      <c r="AM28" s="8"/>
      <c r="AN28" s="8"/>
    </row>
    <row r="29" spans="1:47" ht="18">
      <c r="A29" s="226"/>
      <c r="B29" s="623" t="str">
        <f>IF(I25&gt;=I26,"No links required","SOLUTION ")</f>
        <v>No links required</v>
      </c>
      <c r="C29" s="331" t="str">
        <f>"Fig 6.22 ("&amp;IF(O28=1,"B","A")&amp;")"</f>
        <v>Fig 6.22 (B)</v>
      </c>
      <c r="D29" s="489"/>
      <c r="E29" s="255" t="str">
        <f>INTERNAL!E28</f>
        <v>.</v>
      </c>
      <c r="F29" s="255"/>
      <c r="G29" s="255"/>
      <c r="H29" s="255"/>
      <c r="I29" s="255"/>
      <c r="J29" s="255"/>
      <c r="K29" s="255"/>
      <c r="L29" s="278"/>
      <c r="M29" s="358"/>
      <c r="N29" s="14" t="s">
        <v>117</v>
      </c>
      <c r="O29" s="29">
        <f>(O26-D35)/O17+1</f>
        <v>3</v>
      </c>
      <c r="P29" s="51" t="s">
        <v>118</v>
      </c>
      <c r="Q29" s="14" t="s">
        <v>117</v>
      </c>
      <c r="R29" s="110">
        <f>(R26-D35)/R14+1</f>
        <v>1</v>
      </c>
      <c r="S29" s="51" t="s">
        <v>118</v>
      </c>
      <c r="T29" s="14" t="s">
        <v>117</v>
      </c>
      <c r="U29" s="220">
        <f>(U26-$D35)/U14+1</f>
        <v>1</v>
      </c>
      <c r="V29" s="51" t="s">
        <v>118</v>
      </c>
      <c r="W29" s="2"/>
      <c r="X29" s="186" t="s">
        <v>202</v>
      </c>
      <c r="Y29" s="190" t="s">
        <v>199</v>
      </c>
      <c r="Z29" s="190" t="s">
        <v>198</v>
      </c>
      <c r="AA29" s="186" t="s">
        <v>192</v>
      </c>
      <c r="AB29" s="190" t="s">
        <v>197</v>
      </c>
      <c r="AC29" s="190" t="s">
        <v>196</v>
      </c>
      <c r="AD29" s="186" t="s">
        <v>7</v>
      </c>
      <c r="AE29" s="167" t="s">
        <v>195</v>
      </c>
      <c r="AF29" s="167" t="s">
        <v>194</v>
      </c>
      <c r="AG29" s="168" t="s">
        <v>193</v>
      </c>
      <c r="AH29" s="167" t="s">
        <v>200</v>
      </c>
      <c r="AI29" s="167" t="s">
        <v>201</v>
      </c>
      <c r="AJ29" s="164"/>
    </row>
    <row r="30" spans="1:47" ht="18">
      <c r="A30" s="226"/>
      <c r="B30" s="288"/>
      <c r="C30" s="325" t="str">
        <f>O32&amp;" link spurs of "&amp;O30&amp;R1&amp;O33</f>
        <v>15 link spurs of 3H8 @ 140</v>
      </c>
      <c r="D30" s="257"/>
      <c r="E30" s="257"/>
      <c r="F30" s="257"/>
      <c r="G30" s="356">
        <f>IF(O28=1,2*O18+O19,IF(R28=1,S8,V8))*O30+IF(AND(O28+R28=0,U28=2),6*U35,0)</f>
        <v>45</v>
      </c>
      <c r="H30" s="357" t="s">
        <v>119</v>
      </c>
      <c r="I30" s="255"/>
      <c r="J30" s="255"/>
      <c r="K30" s="255"/>
      <c r="L30" s="278"/>
      <c r="M30" s="498" t="str">
        <f>IF(D35+O31&gt;S4,"Links outside Column Strip, CHECK Asy","√")</f>
        <v>√</v>
      </c>
      <c r="N30" s="1" t="s">
        <v>123</v>
      </c>
      <c r="O30" s="222">
        <f>IF(O28&gt;0,O29,IF(R28&gt;0,R29,U29))</f>
        <v>3</v>
      </c>
      <c r="P30" s="51" t="s">
        <v>2</v>
      </c>
      <c r="R30" s="8"/>
      <c r="W30" s="2"/>
      <c r="X30" s="187">
        <f>IF(AND(Y$20&lt;=-E$12/2,MIN(-Y$21/Y$20,-Z$21/Z$20)&lt;AA24,MAX(-AA$21/AA$20,-AB$21/AB$20)&gt;-AA24),1,0)</f>
        <v>0</v>
      </c>
      <c r="Y30" s="187">
        <f>IF(AND(AA$21&gt;0,Y$20&lt;0,(-Y$21/Y$20*X24-E$13/2)/Y3&lt;1),1,0)</f>
        <v>0</v>
      </c>
      <c r="Z30" s="182">
        <f>IF(AND(AA3=Z3,Y$21&gt;0,Y$20&lt;0,(-AB$20/AB$21*Y24-E$12/2)/Y3&lt;1),1,0)</f>
        <v>0</v>
      </c>
      <c r="AA30" s="179">
        <f>IF(AND(AA3=Z3,Y$21&gt;=E$13/2,MIN(Y$20/Y$21,AA$20/AA$21)&lt;Z24,MAX(Z$20/Z$21,AB$20/AB$21)&gt;-Z24),1,0)</f>
        <v>0</v>
      </c>
      <c r="AB30" s="182">
        <f>IF(AND(AA3=Z3,AA$21&gt;0,Z$20&gt;0,(AA$20/AA$21*Y24-E$12/2)/Y3&lt;1),1,0)</f>
        <v>0</v>
      </c>
      <c r="AC30" s="187">
        <f>IF(AND(AA$21&gt;0,Z$20&gt;0,(Z$21/Z$20*X24-E$13/2)/Y3&lt;1),1,0)</f>
        <v>1</v>
      </c>
      <c r="AD30" s="187">
        <f>IF(AND(Z$20&gt;=E$12/2,Z$21/Z$20&lt;AA24,AB$21/AB$20&gt;-AA24),1,0)</f>
        <v>0</v>
      </c>
      <c r="AE30" s="37">
        <f>IF(AND(Y$21&lt;0,AB$20&gt;0,(-AB$21/AB$20*X24-E$13/2)/Y3&lt;1),1,0)</f>
        <v>0</v>
      </c>
      <c r="AF30" s="37">
        <f>IF(AND(Y$21&lt;0,AB$20&gt;0,(-Y$20/Y$21*Y24-E$12/2)/Y3&lt;1),1,0)</f>
        <v>0</v>
      </c>
      <c r="AG30" s="37">
        <f>IF(AND(Y$21&lt;=-E$13/2-H$14,MIN(-AA$20/AA$21,-Y$20/Y$21)&lt;Z24,MAX(-AB$20/AB$21,-Z$20/Z$21)&gt;-Z24),1,0)</f>
        <v>0</v>
      </c>
      <c r="AH30" s="37">
        <f>IF(AND(Y$21&lt;0,Y$20&lt;0,(Z$20/Z$21*Y24-E$12/2)/Y3&lt;1),1,0)</f>
        <v>0</v>
      </c>
      <c r="AI30" s="37">
        <f>IF(AND(Y$21&lt;0,Y$20&lt;0,(AA$21/AA$20*X24-E$13/2)/Y3&lt;1),1,0)</f>
        <v>0</v>
      </c>
      <c r="AJ30" s="185"/>
      <c r="AK30" s="3"/>
      <c r="AL30" s="3"/>
      <c r="AM30" s="3"/>
      <c r="AN30" s="3"/>
      <c r="AO30" s="3"/>
      <c r="AP30" s="3"/>
      <c r="AQ30" s="3"/>
      <c r="AR30" s="3"/>
      <c r="AS30" s="3"/>
      <c r="AT30" s="3"/>
      <c r="AU30" s="3"/>
    </row>
    <row r="31" spans="1:47" ht="18">
      <c r="A31" s="226"/>
      <c r="B31" s="291"/>
      <c r="C31" s="326" t="str">
        <f>IF(AND(O28+R28=0,U28=2),"plus 6 spurs of "&amp;U35&amp;R1&amp;U14,".")</f>
        <v>.</v>
      </c>
      <c r="D31" s="257"/>
      <c r="E31" s="255"/>
      <c r="F31" s="255"/>
      <c r="G31" s="255"/>
      <c r="H31" s="255"/>
      <c r="I31" s="20"/>
      <c r="J31" s="20"/>
      <c r="K31" s="255"/>
      <c r="L31" s="278"/>
      <c r="M31" s="259" t="str">
        <f>IF(D35+O31&gt;S4,"Column strip "&amp;U4&amp;" mm wide","")</f>
        <v></v>
      </c>
      <c r="N31" s="14" t="s">
        <v>122</v>
      </c>
      <c r="O31" s="8">
        <f>(O30-1)*O33</f>
        <v>280</v>
      </c>
      <c r="P31" s="51" t="s">
        <v>4</v>
      </c>
      <c r="Q31" s="14" t="s">
        <v>221</v>
      </c>
      <c r="R31" s="211">
        <f>(I27-E13-2*E15)/8/SIN(PI()/8)-(S5+S6)/4-D35</f>
        <v>19.961111828641208</v>
      </c>
      <c r="T31" s="14" t="s">
        <v>221</v>
      </c>
      <c r="U31" s="211">
        <f>(I27-E13-2*E15)/12/SIN(PI()/12)-($S5+$S6)/4-$D35</f>
        <v>12.962913144534184</v>
      </c>
      <c r="V31" s="2"/>
      <c r="W31" s="2"/>
      <c r="X31" s="188">
        <f>IF(AND(Y$20&lt;=-E$12/2,MIN(-Y$21/Y$20,-Z$21/Z$20)&lt;AA25,MAX(-AA$21/AA$20,-AB$21/AB$20)&gt;-AA25),1,0)</f>
        <v>0</v>
      </c>
      <c r="Y31" s="188">
        <f>IF(AND(AA$21&gt;0,Y$20&lt;0,(-Y$21/Y$20*X25-E$13/2)/Y9&lt;1),1,0)</f>
        <v>0</v>
      </c>
      <c r="Z31" s="183">
        <f>IF(AND(AA9=Z9,Y$21&gt;0,Y$20&lt;0,(-AB$20/AB$21*Y25-E$12/2)/Y9&lt;1),1,0)</f>
        <v>0</v>
      </c>
      <c r="AA31" s="180">
        <f>IF(AND(AA9=Z9,Y$21&gt;=E$13/2,MIN(Y$20/Y$21,AA$20/AA$21)&lt;Z25,MAX(Z$20/Z$21,AB$20/AB$21)&gt;-Z25),1,0)</f>
        <v>0</v>
      </c>
      <c r="AB31" s="183">
        <f>IF(AND(AA9=Z9,AA$21&gt;0,Z$20&gt;0,(AA$20/AA$21*Y25-E$12/2)/Y9&lt;1),1,0)</f>
        <v>0</v>
      </c>
      <c r="AC31" s="188">
        <f>IF(AND(AA$21&gt;0,Z$20&gt;0,(Z$21/Z$20*X25-E$13/2)/Y9&lt;1),1,0)</f>
        <v>1</v>
      </c>
      <c r="AD31" s="188">
        <f>IF(AND(Z$20&gt;=E$12/2,Z$21/Z$20&lt;AA25,AB$21/AB$20&gt;-AA25),1,0)</f>
        <v>0</v>
      </c>
      <c r="AE31" s="38">
        <f>IF(AND(Y$21&lt;0,AB$20&gt;0,(-AB$21/AB$20*X25-E$13/2)/Y9&lt;1),1,0)</f>
        <v>0</v>
      </c>
      <c r="AF31" s="38">
        <f>IF(AND(Y$21&lt;0,AB$20&gt;0,(-Y$20/Y$21*Y25-E$12/2)/Y9&lt;1),1,0)</f>
        <v>0</v>
      </c>
      <c r="AG31" s="38">
        <f>IF(AND(Y$21&lt;=-E$13/2-H$14,MIN(-AA$20/AA$21,-Y$20/Y$21)&lt;Z25,MAX(-AB$20/AB$21,-Z$20/Z$21)&gt;-Z25),1,0)</f>
        <v>0</v>
      </c>
      <c r="AH31" s="38">
        <f>IF(AND(Y$21&lt;0,Y$20&lt;0,(Z$20/Z$21*Y25-E$12/2)/Y9&lt;1),1,0)</f>
        <v>0</v>
      </c>
      <c r="AI31" s="38">
        <f>IF(AND(Y$21&lt;0,Y$20&lt;0,(AA$21/AA$20*X25-E$13/2)/Y9&lt;1),1,0)</f>
        <v>0</v>
      </c>
      <c r="AJ31" s="3"/>
      <c r="AK31" s="3"/>
      <c r="AL31" s="3"/>
      <c r="AM31" s="3"/>
      <c r="AN31" s="3"/>
      <c r="AO31" s="3"/>
      <c r="AP31" s="3"/>
      <c r="AQ31" s="3"/>
      <c r="AR31" s="3"/>
      <c r="AS31" s="3"/>
      <c r="AT31" s="3"/>
      <c r="AU31" s="3"/>
    </row>
    <row r="32" spans="1:47">
      <c r="A32" s="226"/>
      <c r="B32" s="279"/>
      <c r="C32" s="249" t="str">
        <f>"St "&amp;IF(O28=1,"(average)","")&amp;" ="</f>
        <v>St (average) =</v>
      </c>
      <c r="D32" s="20">
        <f>IF(O28=1,ROUND((2*(O18-1)*O21+(O19-1)*O22)/(2*(O11-1)+O12-1),1),IF(R28=1,R9,U9))</f>
        <v>231.7</v>
      </c>
      <c r="E32" s="256" t="s">
        <v>4</v>
      </c>
      <c r="F32" s="249" t="s">
        <v>111</v>
      </c>
      <c r="G32" s="20">
        <f>IF(O28=1,O17,IF(R28=1,R14,U14))</f>
        <v>140</v>
      </c>
      <c r="H32" s="17" t="s">
        <v>4</v>
      </c>
      <c r="I32" s="20"/>
      <c r="J32" s="20"/>
      <c r="K32" s="255"/>
      <c r="L32" s="278"/>
      <c r="M32" s="233"/>
      <c r="N32" s="52" t="s">
        <v>134</v>
      </c>
      <c r="O32" s="8">
        <f>IF(O28=1,2*O18+O19,IF(R28=1,S8,V8))</f>
        <v>15</v>
      </c>
      <c r="P32" s="51" t="s">
        <v>2</v>
      </c>
      <c r="Q32" s="14" t="s">
        <v>222</v>
      </c>
      <c r="R32" s="211">
        <f>(I27/AE25-E13-2*E15)/8/SIN(PI()/8)-(S5+S6)/4-D35</f>
        <v>19.961111828641208</v>
      </c>
      <c r="T32" s="14" t="s">
        <v>222</v>
      </c>
      <c r="U32" s="211">
        <f>(I27/AE25-E13-2*E15)/12/SIN(PI()/12)-($S5+$S6)/4-$D35</f>
        <v>12.962913144534184</v>
      </c>
      <c r="V32" s="2"/>
      <c r="W32" s="3"/>
      <c r="X32" s="188">
        <f>IF(AND(Y$20&lt;=-E$12/2,MIN(-Y$21/Y$20,-Z$21/Z$20)&lt;AA26,MAX(-AA$21/AA$20,-AB$21/AB$20)&gt;-AA26),1,0)</f>
        <v>0</v>
      </c>
      <c r="Y32" s="188">
        <f>IF(AND(AA$21&gt;0,Y$20&lt;0,(-Y$21/Y$20*X26-E$13/2)/IF(Y5=0,0.000001,Y5)&lt;1),1,0)</f>
        <v>0</v>
      </c>
      <c r="Z32" s="183">
        <f>IF(AND(AA5=Z5,Y$21&gt;0,Y$20&lt;0,(-AB$20/AB$21*Y26-E$12/2)/IF(Y5=0,0.000001,Y5)&lt;1),1,0)</f>
        <v>0</v>
      </c>
      <c r="AA32" s="180">
        <f>IF(AND(AA5=Z5,Y$21&gt;=E$13/2,MIN(Y$20/Y$21,AA$20/AA$21)&lt;Z26,MAX(Z$20/Z$21,AB$20/AB$21)&gt;-Z26),1,0)</f>
        <v>0</v>
      </c>
      <c r="AB32" s="183">
        <f>IF(AND(AA5=Z5,AA$21&gt;0,Z$20&gt;0,(AA$20/AA$21*Y26-E$12/2)/IF(Y5=0,0.000001,Y5)&lt;1),1,0)</f>
        <v>0</v>
      </c>
      <c r="AC32" s="188">
        <f>IF(AND(AA$21&gt;0,Z$20&gt;0,(Z$21/Z$20*X26-E$13/2)/IF(Y5=0,0.000001,Y5)&lt;1),1,0)</f>
        <v>1</v>
      </c>
      <c r="AD32" s="188">
        <f>IF(AND(Z$20&gt;=E$12/2,Z$21/Z$20&lt;AA26,AB$21/AB$20&gt;-AA26),1,0)</f>
        <v>0</v>
      </c>
      <c r="AE32" s="38">
        <f>IF(AND(Y$21&lt;0,AB$20&gt;0,(-AB$21/AB$20*X26-E$13/2)/IF(Y5=0,0.000001,Y5)&lt;1),1,0)</f>
        <v>0</v>
      </c>
      <c r="AF32" s="38">
        <f>IF(AND(Y$21&lt;0,AB$20&gt;0,(-Y$20/Y$21*Y26-E$12/2)/IF(Y5=0,0.000001,Y5)&lt;1),1,0)</f>
        <v>0</v>
      </c>
      <c r="AG32" s="38">
        <f>IF(AND(Y$21&lt;=-E$13/2-H$14,MIN(-AA$20/AA$21,-Y$20/Y$21)&lt;Z26,MAX(-AB$20/AB$21,-Z$20/Z$21)&gt;-Z26),1,0)</f>
        <v>0</v>
      </c>
      <c r="AH32" s="38">
        <f>IF(AND(Y$21&lt;0,Y$20&lt;0,(Z$20/Z$21*Y26-E$12/2)/IF(Y5=0,0.000001,Y5)&lt;1),1,0)</f>
        <v>0</v>
      </c>
      <c r="AI32" s="38">
        <f>IF(AND(Y$21&lt;0,Y$20&lt;0,(AA$21/AA$20*X26-E$13/2)/IF(Y5=0,0.000001,Y5)&lt;1),1,0)</f>
        <v>0</v>
      </c>
      <c r="AJ32" s="3"/>
      <c r="AK32" s="3"/>
      <c r="AL32" s="3"/>
      <c r="AM32" s="3"/>
      <c r="AN32" s="3"/>
      <c r="AO32" s="3"/>
      <c r="AP32" s="3"/>
      <c r="AQ32" s="3"/>
      <c r="AR32" s="3"/>
      <c r="AS32" s="3"/>
      <c r="AT32" s="3"/>
      <c r="AU32" s="3"/>
    </row>
    <row r="33" spans="1:47" ht="15.75">
      <c r="A33" s="226"/>
      <c r="B33" s="279"/>
      <c r="C33" s="292" t="s">
        <v>113</v>
      </c>
      <c r="D33" s="24">
        <f>IF(O28=1,MAX(O10,O15),IF(R28=1,R13,U13))</f>
        <v>0.55138145933111538</v>
      </c>
      <c r="E33" s="255"/>
      <c r="F33" s="486" t="s">
        <v>219</v>
      </c>
      <c r="G33" s="20"/>
      <c r="H33" s="488"/>
      <c r="I33" s="20"/>
      <c r="J33" s="20"/>
      <c r="K33" s="255"/>
      <c r="L33" s="278"/>
      <c r="M33" s="237"/>
      <c r="N33" s="52" t="s">
        <v>111</v>
      </c>
      <c r="O33" s="3">
        <f>IF(O28=1,O17,IF(R28=1,R14,U14))</f>
        <v>140</v>
      </c>
      <c r="P33" s="51" t="s">
        <v>4</v>
      </c>
      <c r="Q33" s="212" t="s">
        <v>224</v>
      </c>
      <c r="R33" s="211">
        <f>(4*SQRT(R18^2*(2-1/SQRT(2))+R18*R9/SQRT(2)+R9^2)+E13+2*E15)*IF(R16=R31,1,AE25)</f>
        <v>3620.4055477318552</v>
      </c>
      <c r="S33" s="1"/>
      <c r="T33" s="212" t="s">
        <v>224</v>
      </c>
      <c r="U33" s="211">
        <f>(6*SQRT(U18^2*(5/4+(COS(PI()/6))^2-2*COS(PI()/6))+U18*U9+U9^2)+$E13+2*$E15)*IF(U16=U31,1,AE25)</f>
        <v>4247.276479052337</v>
      </c>
      <c r="V33" s="2"/>
      <c r="W33" s="3"/>
      <c r="X33" s="189">
        <f>IF(AND(Y$20&lt;=-E$12/2,MIN(-Y$21/Y$20,-Z$21/Z$20)&lt;AA27,MAX(-AA$21/AA$20,-AB$21/AB$20)&gt;-AA27),1,0)</f>
        <v>0</v>
      </c>
      <c r="Y33" s="189">
        <f>IF(AND(AA$21&gt;0,Y$20&lt;0,(-Y$21/Y$20*X27-E$13/2)/IF(Y6=0,0.000001,Y6)&lt;1),1,0)</f>
        <v>0</v>
      </c>
      <c r="Z33" s="184">
        <f>IF(AND(AA6=Z6,Y$21&gt;0,Y$20&lt;0,(-AB$20/AB$21*Y27-E$12/2)/IF(Y6=0,0.000001,Y6)&lt;1),1,0)</f>
        <v>0</v>
      </c>
      <c r="AA33" s="181">
        <f>IF(AND(AA6=Z6,Y$21&gt;=E$13/2,MIN(Y$20/Y$21,AA$20/AA$21)&lt;Z27,MAX(Z$20/Z$21,AB$20/AB$21)&gt;-Z27),1,0)</f>
        <v>0</v>
      </c>
      <c r="AB33" s="184">
        <f>IF(AND(AA6=Z6,AA$21&gt;0,Z$20&gt;0,(AA$20/AA$21*Y27-E$12/2)/IF(Y6=0,0.000001,Y6)&lt;1),1,0)</f>
        <v>0</v>
      </c>
      <c r="AC33" s="189">
        <f>IF(AND(AA$21&gt;0,Z$20&gt;0,(Z$21/Z$20*X27-E$13/2)/IF(Y6=0,0.000001,Y6)&lt;1),1,0)</f>
        <v>1</v>
      </c>
      <c r="AD33" s="189">
        <f>IF(AND(Z$20&gt;=E$12/2,Z$21/Z$20&lt;AA27,AB$21/AB$20&gt;-AA27),1,0)</f>
        <v>0</v>
      </c>
      <c r="AE33" s="39">
        <f>IF(AND(Y$21&lt;0,AB$20&gt;0,(-AB$21/AB$20*X27-E$13/2)/IF(Y6=0,0.000001,Y6)&lt;1),1,0)</f>
        <v>0</v>
      </c>
      <c r="AF33" s="39">
        <f>IF(AND(Y$21&lt;0,AB$20&gt;0,(-Y$20/Y$21*Y27-E$12/2)/IF(Y6=0,0.000001,Y6)&lt;1),1,0)</f>
        <v>0</v>
      </c>
      <c r="AG33" s="39">
        <f>IF(AND(Y$21&lt;=-E$13/2-H$14,MIN(-AA$20/AA$21,-Y$20/Y$21)&lt;Z27,MAX(-AB$20/AB$21,-Z$20/Z$21)&gt;-Z27),1,0)</f>
        <v>0</v>
      </c>
      <c r="AH33" s="39">
        <f>IF(AND(Y$21&lt;0,Y$20&lt;0,(Z$20/Z$21*Y27-E$12/2)/IF(Y6=0,0.000001,Y6)&lt;1),1,0)</f>
        <v>0</v>
      </c>
      <c r="AI33" s="39">
        <f>IF(AND(Y$21&lt;0,Y$20&lt;0,(AA$21/AA$20*X27-E$13/2)/IF(Y6=0,0.000001,Y6)&lt;1),1,0)</f>
        <v>0</v>
      </c>
      <c r="AJ33" s="3"/>
      <c r="AK33" s="3"/>
      <c r="AL33" s="3"/>
      <c r="AM33" s="3"/>
      <c r="AN33" s="3"/>
      <c r="AO33" s="3"/>
      <c r="AP33" s="3"/>
      <c r="AQ33" s="3"/>
      <c r="AR33" s="3"/>
      <c r="AS33" s="3"/>
      <c r="AT33" s="3"/>
      <c r="AU33" s="3"/>
    </row>
    <row r="34" spans="1:47" ht="16.5" customHeight="1">
      <c r="A34" s="226"/>
      <c r="B34" s="288"/>
      <c r="C34" s="292" t="s">
        <v>112</v>
      </c>
      <c r="D34" s="24">
        <f>IF(O28=1,O20,IF(R28=1,R15,U15))</f>
        <v>5.3855874061539311</v>
      </c>
      <c r="E34" s="17" t="str">
        <f>IF(O28=1,P10,P17)</f>
        <v>mm</v>
      </c>
      <c r="F34" s="249"/>
      <c r="G34" s="20"/>
      <c r="H34" s="17"/>
      <c r="I34" s="20"/>
      <c r="J34" s="20"/>
      <c r="K34" s="255"/>
      <c r="L34" s="278"/>
      <c r="M34" s="712" t="s">
        <v>380</v>
      </c>
      <c r="N34" s="14" t="s">
        <v>266</v>
      </c>
      <c r="O34" s="494" t="s">
        <v>267</v>
      </c>
      <c r="P34" s="2"/>
      <c r="Q34" s="14" t="s">
        <v>266</v>
      </c>
      <c r="R34" s="27" t="str">
        <f>FIXED(IF(R20="VALID",R31,R22)+G23/2,0)</f>
        <v>362</v>
      </c>
      <c r="S34" s="1"/>
      <c r="T34" s="14" t="s">
        <v>266</v>
      </c>
      <c r="U34" s="27" t="str">
        <f>FIXED(U31+G23/2,0)</f>
        <v>109</v>
      </c>
      <c r="W34" s="3"/>
      <c r="X34" s="191">
        <f>X30*(MIN(E$13/2+MIN(E$15,0),MAX(-E$13/2,MAX(-AA$21/AA$20,-AB$21/AB$20)*X24))-MIN(E$13/2+MIN(E$15,0),MAX(-E$13/2,MIN(-Y$21/Y$20,-Z$21/Z$20)*X24)))</f>
        <v>0</v>
      </c>
      <c r="Y34" s="192">
        <f>Y30*IF(AA3=Z3,Y3*(MAX(0,MIN(PI()/4,ATAN((AB$21/AB$20*-X24-E$13/2)/Y3)))-MAX(0,MIN(PI()/4,ATAN((Y$21/Y$20*-X24-E$13/2)/Y3)))),MAX(0,MIN(E$15,-AB$21/AB$20*X24-E$13/2))-MAX(0,MIN(E$15,-Y$21/Y$20*X24-E$13/2)))</f>
        <v>0</v>
      </c>
      <c r="Z34" s="193">
        <f>Y3*Z30*(MAX(0,MIN(PI()/4,ATAN((Y$20/Y$21*-Y24-E$12/2)/Y3)))-MAX(0,MIN(PI()/4,ATAN((AB$20/AB$21*-Y24-E$12/2)/Y3))))</f>
        <v>0</v>
      </c>
      <c r="AA34" s="194">
        <f>Y24*(MIN(Z24,MAX(Z$20/Z$21,AB$20/AB$21))-MAX(-Z24,MIN(Y$20/Y$21,AA$20/AA$21)))*AA30</f>
        <v>0</v>
      </c>
      <c r="AB34" s="193">
        <f>Y3*AB30*(MAX(0,MIN(PI()/4,ATAN((Z$20/Z$21*Y24-E$12/2)/Y3)))-MAX(0,MIN(PI()/4,ATAN((AA$20/AA$21*Y24-E$12/2)/Y3))))</f>
        <v>0</v>
      </c>
      <c r="AC34" s="192">
        <f>AC30*IF(AA3=Z3,Y3*(MAX(0,MIN(PI()/4,ATAN((AA$21/AA$20*X24-E$13/2)/Y3)))-MAX(0,MIN(PI()/4,ATAN((Z$21/Z$20*X24-E$13/2)/Y3)))),MAX(0,MIN(E$15,AA$21/AA$20*X24-E$13/2))-MAX(0,MIN(E$15,Z$21/Z$20*X24-E$13/2)))</f>
        <v>0</v>
      </c>
      <c r="AD34" s="191">
        <f>AD30*(MIN(E$13/2+MIN(E$15,0),MAX(-E$13/2,MAX(AA$21/AA$20,AB$21/AB$20)*X24))-MIN(E$13/2+MIN(E$15,0),MAX(-E$13/2,MIN(Y$21/Y$20,Z$21/Z$20)*X24)))</f>
        <v>0</v>
      </c>
      <c r="AE34" s="195">
        <f>Y3*AE30*(MAX(0,MIN(PI()/4,ATAN((Y$21/Y$20*-X24-E$13/2)/Y3)))-MAX(0,MIN(PI()/4,ATAN((AB$21/AB$20*-X24-E$13/2)/Y3))))</f>
        <v>0</v>
      </c>
      <c r="AF34" s="195">
        <f>Y3*AF30*(MAX(0,MIN(PI()/4,ATAN((AB$20/AB$21*-Y24-E$12/2)/Y3)))-MAX(0,MIN(PI()/4,ATAN((Y$20/Y$21*-Y24-E$12/2)/Y3))))</f>
        <v>0</v>
      </c>
      <c r="AG34" s="170">
        <f>Y24*(MIN(Z24,MAX(-Z$20/Z$21,-AB$20/AB$21))-MAX(-Z24,MIN(-Y$20/Y$21,-AA$20/AA$21)))*AG30</f>
        <v>0</v>
      </c>
      <c r="AH34" s="195">
        <f>Y3*AH30*(MAX(0,MIN(PI()/4,ATAN((AA$20/AA$21*Y24-E$12/2)/Y3)))-MAX(0,MIN(PI()/4,ATAN((Z$20/Z$21*Y24-E$12/2)/Y3))))</f>
        <v>0</v>
      </c>
      <c r="AI34" s="195">
        <f>Y3*AI30*(MAX(0,MIN(PI()/4,ATAN((Z$21/Z$20*X24-E$13/2)/Y3)))-MAX(0,MIN(PI()/4,ATAN((AA$21/AA$20*X24-E$13/2)/Y3))))</f>
        <v>0</v>
      </c>
      <c r="AJ34" s="3"/>
      <c r="AK34" s="3"/>
      <c r="AL34" s="3"/>
      <c r="AM34" s="3"/>
      <c r="AN34" s="3"/>
      <c r="AO34" s="3"/>
      <c r="AP34" s="3"/>
      <c r="AQ34" s="3"/>
      <c r="AR34" s="3"/>
      <c r="AS34" s="3"/>
      <c r="AT34" s="3"/>
      <c r="AU34" s="3"/>
    </row>
    <row r="35" spans="1:47" ht="18">
      <c r="A35" s="226"/>
      <c r="B35" s="279"/>
      <c r="C35" s="249" t="s">
        <v>120</v>
      </c>
      <c r="D35" s="20">
        <f>FLOOR(G23/2,5)</f>
        <v>95</v>
      </c>
      <c r="E35" s="17" t="s">
        <v>121</v>
      </c>
      <c r="F35" s="249"/>
      <c r="G35" s="20"/>
      <c r="H35" s="17"/>
      <c r="I35" s="20"/>
      <c r="J35" s="20"/>
      <c r="K35" s="257"/>
      <c r="L35" s="278"/>
      <c r="M35" s="712"/>
      <c r="N35" s="239" t="s">
        <v>41</v>
      </c>
      <c r="O35" s="2"/>
      <c r="P35" s="3"/>
      <c r="R35" s="5"/>
      <c r="T35" s="216" t="s">
        <v>229</v>
      </c>
      <c r="U35" s="218">
        <f>IF(U20="INVALID",CEILING((1-(G23-U9/2)/(U19/2-U9/2))*(U29-1),1)+1,0)</f>
        <v>0</v>
      </c>
      <c r="V35" s="217" t="s">
        <v>225</v>
      </c>
      <c r="W35" s="3"/>
      <c r="X35" s="191">
        <f>X31*(MIN(E$13/2+MIN(E$15,0),MAX(-E$13/2,MAX(-AA$21/AA$20,-AB$21/AB$20)*X25))-MIN(E$13/2+MIN(E$15,0),MAX(-E$13/2,MIN(-Y$21/Y$20,-Z$21/Z$20)*X25)))</f>
        <v>0</v>
      </c>
      <c r="Y35" s="192">
        <f>Y31*IF(AA9=Z9,Y9*(MAX(0,MIN(PI()/4,ATAN((AB$21/AB$20*-X25-E$13/2)/Y9)))-MAX(0,MIN(PI()/4,ATAN((Y$21/Y$20*-X25-E$13/2)/Y9)))),MAX(0,MIN(E$15,-AB$21/AB$20*X25-E$13/2))-MAX(0,MIN(E$15,-Y$21/Y$20*X25-E$13/2)))</f>
        <v>0</v>
      </c>
      <c r="Z35" s="193">
        <f>Y9*Z31*(MAX(0,MIN(PI()/4,ATAN((Y$20/Y$21*-Y25-E$12/2)/Y9)))-MAX(0,MIN(PI()/4,ATAN((AB$20/AB$21*-Y25-E$12/2)/Y9))))</f>
        <v>0</v>
      </c>
      <c r="AA35" s="194">
        <f>Y25*(MIN(Z25,MAX(Z$20/Z$21,AB$20/AB$21))-MAX(-Z25,MIN(Y$20/Y$21,AA$20/AA$21)))*AA31</f>
        <v>0</v>
      </c>
      <c r="AB35" s="193">
        <f>Y9*AB31*(MAX(0,MIN(PI()/4,ATAN((Z$20/Z$21*Y25-E$12/2)/Y9)))-MAX(0,MIN(PI()/4,ATAN((AA$20/AA$21*Y25-E$12/2)/Y9))))</f>
        <v>0</v>
      </c>
      <c r="AC35" s="192">
        <f>AC31*IF(AA9=Z9,Y9*(MAX(0,MIN(PI()/4,ATAN((AA$21/AA$20*X25-E$13/2)/Y9)))-MAX(0,MIN(PI()/4,ATAN((Z$21/Z$20*X25-E$13/2)/Y9)))),MAX(0,MIN(E$15,AA$21/AA$20*X25-E$13/2))-MAX(0,MIN(E$15,Z$21/Z$20*X25-E$13/2)))</f>
        <v>0</v>
      </c>
      <c r="AD35" s="191">
        <f>AD31*(MIN(E$13/2+MIN(E$15,0),MAX(-E$13/2,MAX(AA$21/AA$20,AB$21/AB$20)*X25))-MIN(E$13/2+MIN(E$15,0),MAX(-E$13/2,MIN(Y$21/Y$20,Z$21/Z$20)*X25)))</f>
        <v>0</v>
      </c>
      <c r="AE35" s="195">
        <f>Y9*AE31*(MAX(0,MIN(PI()/4,ATAN((Y$21/Y$20*-X25-E$13/2)/Y9)))-MAX(0,MIN(PI()/4,ATAN((AB$21/AB$20*-X25-E$13/2)/Y9))))</f>
        <v>0</v>
      </c>
      <c r="AF35" s="195">
        <f>Y9*AF31*(MAX(0,MIN(PI()/4,ATAN((AB$20/AB$21*-Y25-E$12/2)/Y9)))-MAX(0,MIN(PI()/4,ATAN((Y$20/Y$21*-Y25-E$12/2)/Y9))))</f>
        <v>0</v>
      </c>
      <c r="AG35" s="170">
        <f>Y25*(MIN(Z25,MAX(-Z$20/Z$21,-AB$20/AB$21))-MAX(-Z25,MIN(-Y$20/Y$21,-AA$20/AA$21)))*AG31</f>
        <v>0</v>
      </c>
      <c r="AH35" s="195">
        <f>Y9*AH31*(MAX(0,MIN(PI()/4,ATAN((AA$20/AA$21*Y25-E$12/2)/Y9)))-MAX(0,MIN(PI()/4,ATAN((Z$20/Z$21*Y25-E$12/2)/Y9))))</f>
        <v>0</v>
      </c>
      <c r="AI35" s="195">
        <f>Y9*AI31*(MAX(0,MIN(PI()/4,ATAN((Z$21/Z$20*X25-E$13/2)/Y9)))-MAX(0,MIN(PI()/4,ATAN((AA$21/AA$20*X25-E$13/2)/Y9))))</f>
        <v>0</v>
      </c>
      <c r="AJ35" s="3"/>
      <c r="AK35" s="3"/>
      <c r="AL35" s="3"/>
      <c r="AM35" s="3"/>
      <c r="AN35" s="3"/>
      <c r="AO35" s="3"/>
      <c r="AP35" s="3"/>
      <c r="AQ35" s="3"/>
      <c r="AR35" s="3"/>
      <c r="AS35" s="3"/>
      <c r="AT35" s="3"/>
      <c r="AU35" s="3"/>
    </row>
    <row r="36" spans="1:47" ht="15.75">
      <c r="A36" s="226"/>
      <c r="B36" s="279"/>
      <c r="C36" s="249" t="s">
        <v>268</v>
      </c>
      <c r="D36" s="20">
        <f>D35+O31</f>
        <v>375</v>
      </c>
      <c r="E36" s="17" t="s">
        <v>121</v>
      </c>
      <c r="F36" s="16"/>
      <c r="G36" s="20"/>
      <c r="H36" s="17"/>
      <c r="I36" s="20"/>
      <c r="J36" s="20"/>
      <c r="K36" s="257"/>
      <c r="L36" s="278"/>
      <c r="M36" s="712"/>
      <c r="N36" s="3">
        <f>IF(M25=".",0,1)</f>
        <v>1</v>
      </c>
      <c r="O36" s="704" t="str">
        <f>IF(N36=1,"Size &gt; 4d. ","")</f>
        <v xml:space="preserve">Size &gt; 4d. </v>
      </c>
      <c r="P36" s="624" t="s">
        <v>381</v>
      </c>
      <c r="Q36" s="5">
        <f>IF(AND(MAX(E12:E13)&gt;3.975*G23,MAX(E12:E13)&lt;=4*G23),1,0)</f>
        <v>0</v>
      </c>
      <c r="R36" s="165"/>
      <c r="S36" s="5"/>
      <c r="T36" s="5"/>
      <c r="U36" s="3"/>
      <c r="V36" s="3"/>
      <c r="W36" s="2"/>
      <c r="X36" s="191">
        <f>X32*(MIN(E$13/2+MIN(E$15,0),MAX(-E$13/2,MAX(-AA$21/AA$20,-AB$21/AB$20)*X26))-MIN(E$13/2+MIN(E$15,0),MAX(-E$13/2,MIN(-Y$21/Y$20,-Z$21/Z$20)*X26)))</f>
        <v>0</v>
      </c>
      <c r="Y36" s="192">
        <f>Y32*IF(AA5=Z5,IF(Y5=0,0.000001,Y5)*(MAX(0,MIN(PI()/4,ATAN((AB$21/AB$20*-X26-E$13/2)/IF(Y5=0,0.000001,Y5))))-MAX(0,MIN(PI()/4,ATAN((Y$21/Y$20*-X26-E$13/2)/IF(Y5=0,0.000001,Y5))))),MAX(0,MIN(E$15,-AB$21/AB$20*X26-E$13/2))-MAX(0,MIN(E$15,-Y$21/Y$20*X26-E$13/2)))</f>
        <v>0</v>
      </c>
      <c r="Z36" s="193">
        <f>IF(Y5=0,0.000001,Y5)*Z32*(MAX(0,MIN(PI()/4,ATAN((Y$20/Y$21*-Y26-E$12/2)/IF(Y5=0,0.000001,Y5))))-MAX(0,MIN(PI()/4,ATAN((AB$20/AB$21*-Y26-E$12/2)/IF(Y5=0,0.000001,Y5)))))</f>
        <v>0</v>
      </c>
      <c r="AA36" s="194">
        <f>Y26*(MIN(Z26,MAX(Z$20/Z$21,AB$20/AB$21))-MAX(-Z26,MIN(Y$20/Y$21,AA$20/AA$21)))*AA32</f>
        <v>0</v>
      </c>
      <c r="AB36" s="193">
        <f>IF(Y5=0,0.000001,Y5)*AB32*(MAX(0,MIN(PI()/4,ATAN((Z$20/Z$21*Y26-E$12/2)/IF(Y5=0,0.000001,Y5))))-MAX(0,MIN(PI()/4,ATAN((AA$20/AA$21*Y26-E$12/2)/IF(Y5=0,0.000001,Y5)))))</f>
        <v>0</v>
      </c>
      <c r="AC36" s="192">
        <f>AC32*IF(AA5=Z5,IF(Y5=0,0.000001,Y5)*(MAX(0,MIN(PI()/4,ATAN((AA$21/AA$20*X26-E$13/2)/IF(Y5=0,0.000001,Y5))))-MAX(0,MIN(PI()/4,ATAN((Z$21/Z$20*X26-E$13/2)/IF(Y5=0,0.000001,Y5))))),MAX(0,MIN(E$15,AA$21/AA$20*X26-E$13/2))-MAX(0,MIN(E$15,Z$21/Z$20*X26-E$13/2)))</f>
        <v>0</v>
      </c>
      <c r="AD36" s="191">
        <f>AD32*(MIN(E$13/2+MIN(E$15,0),MAX(-E$13/2,MAX(AA$21/AA$20,AB$21/AB$20)*X26))-MIN(E$13/2+MIN(E$15,0),MAX(-E$13/2,MIN(Y$21/Y$20,Z$21/Z$20)*X26)))</f>
        <v>0</v>
      </c>
      <c r="AE36" s="195">
        <f>IF(Y5=0,0.000001,Y5)*AE32*(MAX(0,MIN(PI()/4,ATAN((Y$21/Y$20*-X26-E$13/2)/IF(Y5=0,0.000001,Y5))))-MAX(0,MIN(PI()/4,ATAN((AB$21/AB$20*-X26-E$13/2)/IF(Y5=0,0.000001,Y5)))))</f>
        <v>0</v>
      </c>
      <c r="AF36" s="195">
        <f>IF(Y5=0,0.000001,Y5)*AF32*(MAX(0,MIN(PI()/4,ATAN((AB$20/AB$21*-Y26-E$12/2)/IF(Y5=0,0.000001,Y5))))-MAX(0,MIN(PI()/4,ATAN((Y$20/Y$21*-Y26-E$12/2)/IF(Y5=0,0.000001,Y5)))))</f>
        <v>0</v>
      </c>
      <c r="AG36" s="170">
        <f>Y26*(MIN(Z26,MAX(-Z$20/Z$21,-AB$20/AB$21))-MAX(-Z26,MIN(-Y$20/Y$21,-AA$20/AA$21)))*AG32</f>
        <v>0</v>
      </c>
      <c r="AH36" s="195">
        <f>IF(Y5=0,0.000001,Y5)*AH32*(MAX(0,MIN(PI()/4,ATAN((AA$20/AA$21*Y26-E$12/2)/IF(Y5=0,0.000001,Y5))))-MAX(0,MIN(PI()/4,ATAN((Z$20/Z$21*Y26-E$12/2)/IF(Y5=0,0.000001,Y5)))))</f>
        <v>0</v>
      </c>
      <c r="AI36" s="195">
        <f>IF(Y5=0,0.000001,Y5)*AI32*(MAX(0,MIN(PI()/4,ATAN((Z$21/Z$20*X26-E$13/2)/IF(Y5=0,0.000001,Y5))))-MAX(0,MIN(PI()/4,ATAN((AA$21/AA$20*X26-E$13/2)/IF(Y5=0,0.000001,Y5)))))</f>
        <v>0</v>
      </c>
      <c r="AJ36" s="3"/>
      <c r="AK36" s="3"/>
      <c r="AL36" s="3"/>
      <c r="AM36" s="3"/>
      <c r="AN36" s="3"/>
      <c r="AO36" s="3"/>
      <c r="AP36" s="3"/>
      <c r="AQ36" s="3"/>
      <c r="AR36" s="3"/>
      <c r="AS36" s="3"/>
      <c r="AT36" s="3"/>
      <c r="AU36" s="3"/>
    </row>
    <row r="37" spans="1:47" ht="18">
      <c r="A37" s="226"/>
      <c r="B37" s="279"/>
      <c r="C37" s="249" t="s">
        <v>100</v>
      </c>
      <c r="D37" s="20">
        <f>IF(O28=1,O27,IF(R28=1,R27,U27))</f>
        <v>4541.4910732142453</v>
      </c>
      <c r="E37" s="17" t="str">
        <f>"mm "&amp;IF(I27&gt;D37,"&lt;","&gt;")&amp;" "&amp;FIXED(I27,0)&amp;" mm"</f>
        <v>mm &gt; 2,700 mm</v>
      </c>
      <c r="F37" s="249"/>
      <c r="G37" s="20"/>
      <c r="H37" s="324" t="s">
        <v>241</v>
      </c>
      <c r="I37" s="20"/>
      <c r="J37" s="20"/>
      <c r="K37" s="257"/>
      <c r="L37" s="281"/>
      <c r="M37" s="355"/>
      <c r="N37" s="3">
        <f>IF(M22="√",0,1)</f>
        <v>0</v>
      </c>
      <c r="O37" s="704" t="str">
        <f>IF(N37=1,"V max. ","")</f>
        <v/>
      </c>
      <c r="P37" s="2"/>
      <c r="Q37" s="2"/>
      <c r="R37" s="166"/>
      <c r="S37" s="5"/>
      <c r="T37" s="2"/>
      <c r="U37" s="4"/>
      <c r="V37" s="2"/>
      <c r="W37" s="2"/>
      <c r="X37" s="196">
        <f>X33*(MIN(E$13/2+MIN(E$15,0),MAX(-E$13/2,MAX(-AA$21/AA$20,-AB$21/AB$20)*X27))-MIN(E$13/2+MIN(E$15,0),MAX(-E$13/2,MIN(-Y$21/Y$20,-Z$21/Z$20)*X27)))</f>
        <v>0</v>
      </c>
      <c r="Y37" s="197">
        <f>Y33*IF(AA6=Z6,IF(Y6=0,0.000001,Y6)*(MAX(0,MIN(PI()/4,ATAN((AB$21/AB$20*-X27-E$13/2)/IF(Y6=0,0.000001,Y6))))-MAX(0,MIN(PI()/4,ATAN((Y$21/Y$20*-X27-E$13/2)/IF(Y6=0,0.000001,Y6))))),MAX(0,MIN(E$15,-AB$21/AB$20*X27-E$13/2))-MAX(0,MIN(E$15,-Y$21/Y$20*X27-E$13/2)))</f>
        <v>0</v>
      </c>
      <c r="Z37" s="198">
        <f>IF(Y6=0,0.000001,Y6)*Z33*(MAX(0,MIN(PI()/4,ATAN((Y$20/Y$21*-Y27-E$12/2)/IF(Y6=0,0.000001,Y6))))-MAX(0,MIN(PI()/4,ATAN((AB$20/AB$21*-Y27-E$12/2)/IF(Y6=0,0.000001,Y6)))))</f>
        <v>0</v>
      </c>
      <c r="AA37" s="199">
        <f>Y27*(MIN(Z27,MAX(Z$20/Z$21,AB$20/AB$21))-MAX(-Z27,MIN(Y$20/Y$21,AA$20/AA$21)))*AA33</f>
        <v>0</v>
      </c>
      <c r="AB37" s="198">
        <f>IF(Y6=0,0.000001,Y6)*AB33*(MAX(0,MIN(PI()/4,ATAN((Z$20/Z$21*Y27-E$12/2)/IF(Y6=0,0.000001,Y6))))-MAX(0,MIN(PI()/4,ATAN((AA$20/AA$21*Y27-E$12/2)/IF(Y6=0,0.000001,Y6)))))</f>
        <v>0</v>
      </c>
      <c r="AC37" s="197">
        <f>AC33*IF(AA6=Z6,IF(Y6=0,0.000001,Y6)*(MAX(0,MIN(PI()/4,ATAN((AA$21/AA$20*X27-E$13/2)/IF(Y6=0,0.000001,Y6))))-MAX(0,MIN(PI()/4,ATAN((Z$21/Z$20*X27-E$13/2)/IF(Y6=0,0.000001,Y6))))),MAX(0,MIN(E$15,AA$21/AA$20*X27-E$13/2))-MAX(0,MIN(E$15,Z$21/Z$20*X27-E$13/2)))</f>
        <v>0</v>
      </c>
      <c r="AD37" s="196">
        <f>AD33*(MIN(E$13/2+MIN(E$15,0),MAX(-E$13/2,MAX(AA$21/AA$20,AB$21/AB$20)*X27))-MIN(E$13/2+MIN(E$15,0),MAX(-E$13/2,MIN(Y$21/Y$20,Z$21/Z$20)*X27)))</f>
        <v>0</v>
      </c>
      <c r="AE37" s="200">
        <f>IF(Y6=0,0.000001,Y6)*AE33*(MAX(0,MIN(PI()/4,ATAN((Y$21/Y$20*-X27-E$13/2)/IF(Y6=0,0.000001,Y6))))-MAX(0,MIN(PI()/4,ATAN((AB$21/AB$20*-X27-E$13/2)/IF(Y6=0,0.000001,Y6)))))</f>
        <v>0</v>
      </c>
      <c r="AF37" s="200">
        <f>IF(Y6=0,0.000001,Y6)*AF33*(MAX(0,MIN(PI()/4,ATAN((AB$20/AB$21*-Y27-E$12/2)/IF(Y6=0,0.000001,Y6))))-MAX(0,MIN(PI()/4,ATAN((Y$20/Y$21*-Y27-E$12/2)/IF(Y6=0,0.000001,Y6)))))</f>
        <v>0</v>
      </c>
      <c r="AG37" s="171">
        <f>Y27*(MIN(Z27,MAX(-Z$20/Z$21,-AB$20/AB$21))-MAX(-Z27,MIN(-Y$20/Y$21,-AA$20/AA$21)))*AG33</f>
        <v>0</v>
      </c>
      <c r="AH37" s="200">
        <f>IF(Y6=0,0.000001,Y6)*AH33*(MAX(0,MIN(PI()/4,ATAN((AA$20/AA$21*Y27-E$12/2)/IF(Y6=0,0.000001,Y6))))-MAX(0,MIN(PI()/4,ATAN((Z$20/Z$21*Y27-E$12/2)/IF(Y6=0,0.000001,Y6)))))</f>
        <v>0</v>
      </c>
      <c r="AI37" s="200">
        <f>IF(Y6=0,0.000001,Y6)*AI33*(MAX(0,MIN(PI()/4,ATAN((Z$21/Z$20*X27-E$13/2)/IF(Y6=0,0.000001,Y6))))-MAX(0,MIN(PI()/4,ATAN((AA$21/AA$20*X27-E$13/2)/IF(Y6=0,0.000001,Y6)))))</f>
        <v>0</v>
      </c>
      <c r="AJ37" s="3"/>
      <c r="AK37" s="3"/>
      <c r="AL37" s="3"/>
      <c r="AM37" s="3"/>
      <c r="AN37" s="3"/>
      <c r="AO37" s="3"/>
      <c r="AP37" s="3"/>
      <c r="AQ37" s="3"/>
      <c r="AR37" s="3"/>
      <c r="AS37" s="3"/>
      <c r="AT37" s="3"/>
      <c r="AU37" s="3"/>
    </row>
    <row r="38" spans="1:47" ht="18">
      <c r="A38" s="226"/>
      <c r="B38" s="627" t="str">
        <f>IF(MAX(E13/2,E13/2+E15)&lt;2*G23,R39,R38)</f>
        <v>Additional spurs may be required between column and edge.</v>
      </c>
      <c r="C38" s="257"/>
      <c r="D38" s="257"/>
      <c r="E38" s="257"/>
      <c r="F38" s="257"/>
      <c r="G38" s="257"/>
      <c r="H38" s="324" t="s">
        <v>240</v>
      </c>
      <c r="I38" s="20"/>
      <c r="J38" s="20"/>
      <c r="K38" s="257"/>
      <c r="L38" s="281"/>
      <c r="M38" s="238"/>
      <c r="N38" s="3">
        <f>IF(O28+R28+U28=0,1,0)</f>
        <v>0</v>
      </c>
      <c r="O38" s="704" t="str">
        <f>IF(N38=1,"&gt; "&amp;V8&amp;" spurs ","")</f>
        <v/>
      </c>
      <c r="P38" s="2"/>
      <c r="Q38" s="2"/>
      <c r="R38" s="2" t="s">
        <v>385</v>
      </c>
      <c r="S38" s="5"/>
      <c r="T38" s="2"/>
      <c r="U38" s="2"/>
      <c r="V38" s="2"/>
      <c r="W38" s="2"/>
      <c r="Y38" s="3"/>
      <c r="Z38" s="2"/>
      <c r="AA38" s="2"/>
      <c r="AB38" s="9"/>
      <c r="AC38" s="9"/>
      <c r="AD38" s="9"/>
      <c r="AE38" s="9"/>
      <c r="AF38" s="9"/>
    </row>
    <row r="39" spans="1:47" ht="17.25" thickBot="1">
      <c r="A39" s="83"/>
      <c r="B39" s="626" t="s">
        <v>146</v>
      </c>
      <c r="C39" s="296"/>
      <c r="D39" s="296"/>
      <c r="E39" s="296"/>
      <c r="F39" s="296"/>
      <c r="G39" s="296"/>
      <c r="H39" s="296"/>
      <c r="I39" s="296"/>
      <c r="J39" s="296"/>
      <c r="K39" s="296"/>
      <c r="L39" s="297"/>
      <c r="M39" s="233"/>
      <c r="N39" s="3">
        <f>IF(K26&gt;1,1,0)</f>
        <v>0</v>
      </c>
      <c r="O39" s="704" t="str">
        <f>IF(N39=1,"VEd/VRdc &gt; "&amp;Refs!D13,"")</f>
        <v/>
      </c>
      <c r="P39" s="2"/>
      <c r="Q39" s="2"/>
      <c r="R39" s="2" t="s">
        <v>161</v>
      </c>
      <c r="S39" s="2"/>
      <c r="T39" s="2"/>
      <c r="U39" s="2"/>
      <c r="V39" s="2"/>
      <c r="W39" s="2"/>
      <c r="X39" s="2"/>
      <c r="Y39" s="3"/>
      <c r="Z39" s="3"/>
      <c r="AA39" s="2"/>
      <c r="AB39" s="2"/>
      <c r="AC39" s="2"/>
      <c r="AD39" s="2"/>
    </row>
    <row r="40" spans="1:47" ht="16.5" thickBot="1">
      <c r="N40" s="3">
        <f>IF(M14="√",0,1)</f>
        <v>0</v>
      </c>
      <c r="O40" s="704" t="str">
        <f>IF(N40=1,"Hole","")</f>
        <v/>
      </c>
      <c r="P40" s="2"/>
      <c r="Q40" s="2"/>
      <c r="R40" s="2"/>
      <c r="S40" s="2"/>
      <c r="T40" s="2"/>
      <c r="U40" s="2"/>
      <c r="V40" s="2"/>
      <c r="W40" s="2"/>
      <c r="X40" s="2"/>
      <c r="Y40" s="3"/>
      <c r="Z40" s="3"/>
      <c r="AA40" s="3"/>
      <c r="AB40" s="2"/>
      <c r="AC40" s="2"/>
      <c r="AD40" s="2"/>
    </row>
    <row r="41" spans="1:47" ht="18">
      <c r="B41" s="520" t="s">
        <v>299</v>
      </c>
      <c r="C41" s="521"/>
      <c r="D41" s="522"/>
      <c r="E41" s="521"/>
      <c r="F41" s="522"/>
      <c r="G41" s="521"/>
      <c r="H41" s="534"/>
      <c r="I41" s="523"/>
      <c r="J41" s="524"/>
      <c r="N41" s="605">
        <f>SUM(N37:N40)</f>
        <v>0</v>
      </c>
      <c r="U41" s="2"/>
      <c r="V41" s="2"/>
      <c r="W41" s="2"/>
      <c r="X41" s="2"/>
      <c r="Y41" s="2"/>
      <c r="Z41" s="2"/>
      <c r="AA41" s="2"/>
      <c r="AB41" s="2"/>
      <c r="AC41" s="2"/>
      <c r="AD41" s="2"/>
    </row>
    <row r="42" spans="1:47" ht="19.5">
      <c r="B42" s="537" t="s">
        <v>322</v>
      </c>
      <c r="C42" s="525" t="s">
        <v>318</v>
      </c>
      <c r="D42" s="526">
        <f>PI()*Y3+$E$12+2*$E$13</f>
        <v>3912.6547642856603</v>
      </c>
      <c r="E42" s="525" t="s">
        <v>317</v>
      </c>
      <c r="F42" s="526">
        <f>E12+2*PI()*G23+2*MIN(1.5*G23,E13/2,(E13+E15)/2)</f>
        <v>2091.6547642856603</v>
      </c>
      <c r="G42" s="525" t="s">
        <v>319</v>
      </c>
      <c r="H42" s="535">
        <f>D42/F42</f>
        <v>1.8706025636223509</v>
      </c>
      <c r="I42" s="518"/>
      <c r="J42" s="536"/>
      <c r="O42" s="137"/>
      <c r="P42" s="2"/>
      <c r="Q42" s="2"/>
      <c r="R42" s="2"/>
      <c r="S42" s="2"/>
      <c r="T42" s="2"/>
      <c r="U42" s="2"/>
      <c r="V42" s="2"/>
      <c r="W42" s="2"/>
      <c r="X42" s="2"/>
      <c r="Y42" s="2"/>
      <c r="Z42" s="2"/>
      <c r="AA42" s="2"/>
      <c r="AB42" s="2"/>
      <c r="AC42" s="2"/>
      <c r="AD42" s="2"/>
    </row>
    <row r="43" spans="1:47" ht="19.5">
      <c r="B43" s="628" t="s">
        <v>321</v>
      </c>
      <c r="C43" s="708">
        <f>E12^2/4+E12*E13+4*E13*G23+8*G23^2+PI()*G23*E12</f>
        <v>1788790.2146428491</v>
      </c>
      <c r="D43" s="708"/>
      <c r="E43" s="525" t="s">
        <v>320</v>
      </c>
      <c r="F43" s="519">
        <f>E13/2/E12</f>
        <v>2</v>
      </c>
      <c r="G43" s="525" t="s">
        <v>310</v>
      </c>
      <c r="H43" s="519">
        <f>IF(F43&lt;1,MAX(0.45,0.45+0.15*(F43-0.5)/0.5),MIN(0.8,0.6+0.2*(F43-1)/2))</f>
        <v>0.7</v>
      </c>
      <c r="I43" s="525" t="s">
        <v>304</v>
      </c>
      <c r="J43" s="527">
        <f>H42+1000*H43*MIN(D42,AA3)/C43*H17/E17</f>
        <v>1.6807495847037452</v>
      </c>
      <c r="N43" s="239" t="s">
        <v>389</v>
      </c>
      <c r="O43" s="50"/>
      <c r="P43" s="50"/>
      <c r="Q43" s="50"/>
      <c r="R43" s="709" t="s">
        <v>395</v>
      </c>
      <c r="S43" s="709"/>
      <c r="T43" s="2"/>
      <c r="X43" s="2"/>
      <c r="Y43" s="2"/>
      <c r="Z43" s="2"/>
      <c r="AA43" s="2"/>
      <c r="AB43" s="2"/>
      <c r="AC43" s="2"/>
      <c r="AD43" s="2"/>
    </row>
    <row r="44" spans="1:47" ht="18">
      <c r="B44" s="537"/>
      <c r="C44" s="525"/>
      <c r="D44" s="526"/>
      <c r="E44" s="525"/>
      <c r="F44" s="526"/>
      <c r="G44" s="525"/>
      <c r="H44" s="535"/>
      <c r="I44" s="518"/>
      <c r="J44" s="536"/>
      <c r="N44" s="630">
        <f>IF(OR(N54=R54,P54=R54),N50,O50)</f>
        <v>0</v>
      </c>
      <c r="O44" s="631">
        <v>0</v>
      </c>
      <c r="P44" s="631">
        <f>IF(OR(N54=S54,P54=S54),N50,O50)</f>
        <v>0</v>
      </c>
      <c r="Q44" s="710" t="s">
        <v>390</v>
      </c>
      <c r="R44" s="643" t="s">
        <v>394</v>
      </c>
      <c r="S44" s="644" t="s">
        <v>393</v>
      </c>
      <c r="X44" s="2"/>
      <c r="Y44" s="2"/>
      <c r="Z44" s="2"/>
      <c r="AA44" s="2"/>
      <c r="AB44" s="2"/>
      <c r="AC44" s="2"/>
      <c r="AD44" s="2"/>
    </row>
    <row r="45" spans="1:47" ht="18.75" thickBot="1">
      <c r="B45" s="539" t="s">
        <v>323</v>
      </c>
      <c r="C45" s="529"/>
      <c r="D45" s="529" t="s">
        <v>312</v>
      </c>
      <c r="E45" s="540">
        <f>1+1.8*SQRT((1000*H17/E17/(E13+4*G23))^2+(1000*H18/E17/(E12+4*G23))^2)</f>
        <v>1.1131808240182326</v>
      </c>
      <c r="F45" s="541"/>
      <c r="G45" s="529"/>
      <c r="H45" s="541"/>
      <c r="I45" s="529" t="s">
        <v>324</v>
      </c>
      <c r="J45" s="532">
        <f>IF(Z3=AA3,E45,J43)</f>
        <v>1.6807495847037452</v>
      </c>
      <c r="K45" s="542" t="str">
        <f>IF(Z3=AA3,"to expression (6.43)","to expression (6.44)")</f>
        <v>to expression (6.44)</v>
      </c>
      <c r="N45" s="633">
        <f>IF(OR(N54=R54,O54=R54),N51,P51)</f>
        <v>0</v>
      </c>
      <c r="O45" s="634">
        <v>0</v>
      </c>
      <c r="P45" s="634">
        <f>IF(OR(N54=S54,O54=S54),N51,P51)</f>
        <v>0</v>
      </c>
      <c r="Q45" s="711"/>
      <c r="R45" s="645">
        <f>(E$12+2*Y3)/E$13</f>
        <v>0.89333333333333331</v>
      </c>
      <c r="S45" s="646">
        <f>(E$13+2*Y3)/E$12</f>
        <v>6.5733333333333333</v>
      </c>
      <c r="W45" s="3"/>
      <c r="X45" s="2"/>
      <c r="Y45" s="2"/>
      <c r="Z45" s="2"/>
      <c r="AA45" s="2"/>
      <c r="AB45" s="2"/>
      <c r="AC45" s="2"/>
      <c r="AD45" s="2"/>
    </row>
    <row r="46" spans="1:47" ht="16.5" customHeight="1">
      <c r="N46" s="639">
        <f>MAX(0.000001,IF(N45=0,0,ABS(N44/N45)))</f>
        <v>9.9999999999999995E-7</v>
      </c>
      <c r="O46" s="640"/>
      <c r="P46" s="641">
        <f>MAX(0.000001,IF(P45=0,0,ABS(P44/P45)))</f>
        <v>9.9999999999999995E-7</v>
      </c>
      <c r="Q46" s="642" t="s">
        <v>392</v>
      </c>
      <c r="R46" s="645">
        <f>(E$12+2*Y4)/E$13</f>
        <v>0.69816099321480629</v>
      </c>
      <c r="S46" s="646">
        <f>(E$13+2*Y4)/E$12</f>
        <v>5.7926439728592243</v>
      </c>
      <c r="W46" s="3"/>
      <c r="X46" s="2"/>
      <c r="Y46" s="2"/>
      <c r="Z46" s="2"/>
      <c r="AA46" s="2"/>
      <c r="AB46" s="2"/>
      <c r="AC46" s="2"/>
      <c r="AD46" s="2"/>
    </row>
    <row r="47" spans="1:47" ht="18" customHeight="1">
      <c r="N47" s="633">
        <f t="shared" ref="N47:P48" si="0">$E12/2+N44</f>
        <v>150</v>
      </c>
      <c r="O47" s="634">
        <f t="shared" si="0"/>
        <v>150</v>
      </c>
      <c r="P47" s="635">
        <f t="shared" si="0"/>
        <v>150</v>
      </c>
      <c r="Q47" s="710" t="s">
        <v>391</v>
      </c>
      <c r="R47" s="645">
        <f>(E$12+2*Y5)/E$13</f>
        <v>0.25000000000016664</v>
      </c>
      <c r="S47" s="646">
        <f>(E$13+2*Y5)/E$12</f>
        <v>4.000000000000667</v>
      </c>
      <c r="W47" s="3"/>
      <c r="X47" s="2"/>
      <c r="Y47" s="2"/>
      <c r="Z47" s="2"/>
      <c r="AA47" s="2"/>
      <c r="AB47" s="2"/>
      <c r="AC47" s="2"/>
      <c r="AD47" s="2"/>
    </row>
    <row r="48" spans="1:47" ht="18" customHeight="1">
      <c r="N48" s="636">
        <f t="shared" si="0"/>
        <v>600</v>
      </c>
      <c r="O48" s="637">
        <f t="shared" si="0"/>
        <v>600</v>
      </c>
      <c r="P48" s="638">
        <f t="shared" si="0"/>
        <v>600</v>
      </c>
      <c r="Q48" s="711"/>
      <c r="R48" s="647">
        <f>(E$12+2*Y6)/E$13</f>
        <v>0.25</v>
      </c>
      <c r="S48" s="648">
        <f>(E$13+2*Y6)/E$12</f>
        <v>4</v>
      </c>
      <c r="U48" s="3"/>
      <c r="V48" s="3"/>
      <c r="X48" s="2"/>
      <c r="Y48" s="2"/>
      <c r="Z48" s="2"/>
      <c r="AA48" s="2"/>
      <c r="AB48" s="2"/>
      <c r="AC48" s="2"/>
      <c r="AD48" s="2"/>
    </row>
    <row r="49" spans="14:30">
      <c r="N49" s="153" t="s">
        <v>181</v>
      </c>
      <c r="O49" s="154" t="s">
        <v>182</v>
      </c>
      <c r="P49" s="154" t="s">
        <v>183</v>
      </c>
      <c r="Q49" s="155" t="s">
        <v>184</v>
      </c>
      <c r="R49" s="3"/>
      <c r="S49" s="3"/>
      <c r="T49" s="3"/>
      <c r="U49" s="2"/>
      <c r="V49" s="2"/>
      <c r="W49" s="2"/>
      <c r="X49" s="2"/>
      <c r="Y49" s="2"/>
      <c r="Z49" s="2"/>
      <c r="AA49" s="2"/>
      <c r="AB49" s="2"/>
      <c r="AC49" s="2"/>
      <c r="AD49" s="2"/>
    </row>
    <row r="50" spans="14:30">
      <c r="N50" s="71">
        <f>H12</f>
        <v>0</v>
      </c>
      <c r="O50" s="67">
        <f>N50+H15</f>
        <v>0</v>
      </c>
      <c r="P50" s="67">
        <f>N50</f>
        <v>0</v>
      </c>
      <c r="Q50" s="68">
        <f>O50</f>
        <v>0</v>
      </c>
      <c r="R50" s="2"/>
      <c r="S50" s="2"/>
      <c r="T50" s="2"/>
      <c r="U50" s="2"/>
      <c r="V50" s="2"/>
      <c r="W50" s="2"/>
      <c r="X50" s="2"/>
      <c r="Y50" s="2"/>
      <c r="Z50" s="2"/>
      <c r="AA50" s="2"/>
      <c r="AB50" s="2"/>
      <c r="AC50" s="2"/>
      <c r="AD50" s="2"/>
    </row>
    <row r="51" spans="14:30">
      <c r="N51" s="72">
        <f>H13</f>
        <v>0</v>
      </c>
      <c r="O51" s="69">
        <f>N51</f>
        <v>0</v>
      </c>
      <c r="P51" s="69">
        <f>N51+H14</f>
        <v>0</v>
      </c>
      <c r="Q51" s="70">
        <f>P51</f>
        <v>0</v>
      </c>
      <c r="R51" s="654" t="s">
        <v>396</v>
      </c>
      <c r="S51" s="654" t="s">
        <v>397</v>
      </c>
      <c r="T51" s="2"/>
      <c r="U51" s="2"/>
      <c r="V51" s="2"/>
      <c r="W51" s="2"/>
      <c r="X51" s="2"/>
      <c r="Y51" s="2"/>
      <c r="Z51" s="2"/>
      <c r="AA51" s="2"/>
      <c r="AB51" s="2"/>
      <c r="AC51" s="2"/>
      <c r="AD51" s="2"/>
    </row>
    <row r="52" spans="14:30">
      <c r="N52" s="657">
        <f>IF(N51=0,0,N50/N51)</f>
        <v>0</v>
      </c>
      <c r="O52" s="658">
        <f>IF(O51=0,0,O50/O51)</f>
        <v>0</v>
      </c>
      <c r="P52" s="658">
        <f>IF(P51=0,0,P50/P51)</f>
        <v>0</v>
      </c>
      <c r="Q52" s="659">
        <f>IF(Q51=0,0,Q50/Q51)</f>
        <v>0</v>
      </c>
      <c r="R52" s="655">
        <f>MIN(N52:Q52)</f>
        <v>0</v>
      </c>
      <c r="S52" s="655">
        <f>MAX(N52:Q52)</f>
        <v>0</v>
      </c>
      <c r="U52" s="2"/>
      <c r="V52" s="2"/>
      <c r="W52" s="2"/>
      <c r="X52" s="2"/>
      <c r="Y52" s="2"/>
      <c r="Z52" s="2"/>
      <c r="AA52" s="2"/>
      <c r="AB52" s="2"/>
      <c r="AC52" s="2"/>
      <c r="AD52" s="2"/>
    </row>
    <row r="53" spans="14:30">
      <c r="N53" s="660">
        <f>IF(N50=0,0,N51/N50)</f>
        <v>0</v>
      </c>
      <c r="O53" s="661">
        <f>IF(O50=0,0,O51/O50)</f>
        <v>0</v>
      </c>
      <c r="P53" s="661">
        <f>IF(P50=0,0,P51/P50)</f>
        <v>0</v>
      </c>
      <c r="Q53" s="662">
        <f>IF(Q50=0,0,Q51/Q50)</f>
        <v>0</v>
      </c>
      <c r="R53" s="655">
        <f>MIN(N53:Q53)</f>
        <v>0</v>
      </c>
      <c r="S53" s="655">
        <f>MAX(N53:Q53)</f>
        <v>0</v>
      </c>
      <c r="U53" s="2"/>
      <c r="V53" s="2"/>
      <c r="W53" s="2"/>
      <c r="X53" s="2"/>
      <c r="Y53" s="2"/>
      <c r="Z53" s="2"/>
      <c r="AA53" s="2"/>
      <c r="AB53" s="2"/>
      <c r="AC53" s="2"/>
      <c r="AD53" s="2"/>
    </row>
    <row r="54" spans="14:30">
      <c r="N54" s="639">
        <f t="shared" ref="N54:S54" si="1">IF($R55&gt;0,N53,N52)</f>
        <v>0</v>
      </c>
      <c r="O54" s="641">
        <f t="shared" si="1"/>
        <v>0</v>
      </c>
      <c r="P54" s="641">
        <f t="shared" si="1"/>
        <v>0</v>
      </c>
      <c r="Q54" s="653">
        <f t="shared" si="1"/>
        <v>0</v>
      </c>
      <c r="R54" s="663">
        <f t="shared" si="1"/>
        <v>0</v>
      </c>
      <c r="S54" s="663">
        <f t="shared" si="1"/>
        <v>0</v>
      </c>
      <c r="T54" s="134" t="s">
        <v>400</v>
      </c>
      <c r="U54" s="2"/>
      <c r="V54" s="2"/>
      <c r="W54" s="2"/>
      <c r="X54" s="2"/>
      <c r="Y54" s="2"/>
      <c r="Z54" s="2"/>
      <c r="AA54" s="2"/>
      <c r="AB54" s="2"/>
      <c r="AC54" s="2"/>
      <c r="AD54" s="2"/>
    </row>
    <row r="55" spans="14:30" ht="15.75">
      <c r="N55" s="212" t="s">
        <v>398</v>
      </c>
      <c r="O55" s="652">
        <f>IF(H12&gt;0,1,0)</f>
        <v>0</v>
      </c>
      <c r="P55" s="133" t="s">
        <v>399</v>
      </c>
      <c r="Q55" s="19">
        <f>IF(H12&lt;-H15,1,0)</f>
        <v>0</v>
      </c>
      <c r="R55" s="656">
        <f>O55+Q55</f>
        <v>0</v>
      </c>
      <c r="U55" s="2"/>
      <c r="V55" s="2"/>
      <c r="W55" s="2"/>
      <c r="X55" s="2"/>
      <c r="Y55" s="2"/>
      <c r="Z55" s="2"/>
      <c r="AA55" s="2"/>
      <c r="AB55" s="2"/>
      <c r="AC55" s="2"/>
      <c r="AD55" s="2"/>
    </row>
    <row r="56" spans="14:30">
      <c r="N56" s="2"/>
      <c r="O56" s="2"/>
      <c r="P56" s="2"/>
      <c r="Q56" s="2"/>
      <c r="R56" s="2"/>
      <c r="S56" s="2"/>
      <c r="T56" s="2"/>
      <c r="U56" s="2"/>
      <c r="V56" s="2"/>
      <c r="W56" s="2"/>
      <c r="X56" s="2"/>
      <c r="Y56" s="2"/>
      <c r="Z56" s="2"/>
      <c r="AA56" s="2"/>
      <c r="AB56" s="2"/>
      <c r="AC56" s="2"/>
      <c r="AD56" s="2"/>
    </row>
    <row r="57" spans="14:30">
      <c r="N57" s="2"/>
      <c r="O57" s="2"/>
      <c r="P57" s="2"/>
      <c r="Q57" s="2"/>
      <c r="R57" s="2"/>
      <c r="S57" s="2"/>
      <c r="T57" s="2"/>
      <c r="U57" s="2"/>
      <c r="V57" s="2"/>
      <c r="W57" s="2"/>
      <c r="X57" s="2"/>
      <c r="Y57" s="2"/>
      <c r="Z57" s="2"/>
      <c r="AA57" s="2"/>
      <c r="AB57" s="2"/>
      <c r="AC57" s="2"/>
      <c r="AD57" s="2"/>
    </row>
    <row r="58" spans="14:30">
      <c r="N58" s="2"/>
      <c r="O58" s="2"/>
      <c r="P58" s="2"/>
      <c r="Q58" s="2"/>
      <c r="R58" s="2"/>
      <c r="S58" s="2"/>
      <c r="T58" s="2"/>
      <c r="U58" s="2"/>
      <c r="V58" s="2"/>
      <c r="W58" s="2"/>
      <c r="X58" s="2"/>
      <c r="Y58" s="2"/>
      <c r="Z58" s="2"/>
      <c r="AA58" s="2"/>
      <c r="AB58" s="2"/>
      <c r="AC58" s="2"/>
      <c r="AD58" s="2"/>
    </row>
    <row r="59" spans="14:30">
      <c r="N59" s="2"/>
      <c r="O59" s="2"/>
      <c r="P59" s="2"/>
      <c r="Q59" s="2"/>
      <c r="R59" s="2"/>
      <c r="S59" s="2"/>
      <c r="T59" s="2"/>
      <c r="U59" s="2"/>
      <c r="V59" s="2"/>
      <c r="W59" s="2"/>
      <c r="X59" s="2"/>
      <c r="Y59" s="2"/>
      <c r="Z59" s="2"/>
      <c r="AA59" s="2"/>
      <c r="AB59" s="2"/>
      <c r="AC59" s="2"/>
      <c r="AD59" s="2"/>
    </row>
    <row r="60" spans="14:30">
      <c r="N60" s="2"/>
      <c r="O60" s="2"/>
      <c r="P60" s="2"/>
      <c r="Q60" s="2"/>
      <c r="R60" s="2"/>
      <c r="S60" s="2"/>
      <c r="T60" s="2"/>
      <c r="U60" s="2"/>
      <c r="V60" s="2"/>
      <c r="W60" s="2"/>
      <c r="X60" s="2"/>
      <c r="Y60" s="2"/>
      <c r="Z60" s="2"/>
      <c r="AA60" s="2"/>
      <c r="AB60" s="2"/>
      <c r="AC60" s="2"/>
      <c r="AD60" s="2"/>
    </row>
    <row r="61" spans="14:30">
      <c r="N61" s="2"/>
      <c r="O61" s="2"/>
      <c r="P61" s="2"/>
      <c r="Q61" s="2"/>
      <c r="R61" s="2"/>
      <c r="S61" s="2"/>
      <c r="T61" s="2"/>
      <c r="U61" s="2"/>
      <c r="V61" s="2"/>
      <c r="W61" s="2"/>
      <c r="X61" s="2"/>
      <c r="Y61" s="2"/>
      <c r="Z61" s="2"/>
      <c r="AA61" s="2"/>
      <c r="AB61" s="2"/>
      <c r="AC61" s="2"/>
      <c r="AD61" s="2"/>
    </row>
    <row r="62" spans="14:30">
      <c r="N62" s="2"/>
      <c r="O62" s="2"/>
      <c r="P62" s="2"/>
      <c r="Q62" s="2"/>
      <c r="R62" s="2"/>
      <c r="S62" s="2"/>
      <c r="T62" s="2"/>
      <c r="U62" s="2"/>
      <c r="V62" s="2"/>
      <c r="W62" s="2"/>
      <c r="X62" s="2"/>
      <c r="Y62" s="2"/>
      <c r="Z62" s="2"/>
      <c r="AA62" s="2"/>
      <c r="AB62" s="2"/>
      <c r="AC62" s="2"/>
      <c r="AD62" s="2"/>
    </row>
    <row r="63" spans="14:30">
      <c r="N63" s="2"/>
      <c r="O63" s="2"/>
      <c r="P63" s="2"/>
      <c r="Q63" s="2"/>
      <c r="R63" s="2"/>
      <c r="S63" s="2"/>
      <c r="T63" s="2"/>
      <c r="U63" s="2"/>
      <c r="V63" s="2"/>
      <c r="W63" s="2"/>
      <c r="X63" s="2"/>
      <c r="Y63" s="2"/>
      <c r="Z63" s="2"/>
      <c r="AA63" s="2"/>
      <c r="AB63" s="2"/>
      <c r="AC63" s="2"/>
      <c r="AD63" s="2"/>
    </row>
    <row r="64" spans="14:30">
      <c r="N64" s="2"/>
      <c r="O64" s="2"/>
      <c r="P64" s="2"/>
      <c r="Q64" s="2"/>
      <c r="R64" s="2"/>
      <c r="S64" s="2"/>
      <c r="T64" s="2"/>
      <c r="U64" s="2"/>
      <c r="V64" s="2"/>
      <c r="W64" s="2"/>
      <c r="X64" s="2"/>
      <c r="Y64" s="2"/>
      <c r="Z64" s="2"/>
      <c r="AA64" s="2"/>
      <c r="AB64" s="2"/>
      <c r="AC64" s="2"/>
      <c r="AD64" s="2"/>
    </row>
    <row r="65" spans="14:30">
      <c r="N65" s="2"/>
      <c r="O65" s="2"/>
      <c r="P65" s="2"/>
      <c r="Q65" s="2"/>
      <c r="R65" s="2"/>
      <c r="S65" s="2"/>
      <c r="T65" s="2"/>
      <c r="U65" s="2"/>
      <c r="V65" s="2"/>
      <c r="W65" s="2"/>
      <c r="X65" s="2"/>
      <c r="Y65" s="2"/>
      <c r="Z65" s="2"/>
      <c r="AA65" s="2"/>
      <c r="AB65" s="2"/>
      <c r="AC65" s="2"/>
      <c r="AD65" s="2"/>
    </row>
    <row r="66" spans="14:30">
      <c r="N66" s="2"/>
      <c r="O66" s="2"/>
      <c r="P66" s="2"/>
      <c r="Q66" s="2"/>
      <c r="R66" s="2"/>
      <c r="S66" s="2"/>
      <c r="T66" s="2"/>
      <c r="U66" s="2"/>
      <c r="V66" s="2"/>
      <c r="W66" s="2"/>
      <c r="X66" s="2"/>
      <c r="Y66" s="2"/>
      <c r="Z66" s="2"/>
      <c r="AA66" s="2"/>
      <c r="AB66" s="2"/>
      <c r="AC66" s="2"/>
      <c r="AD66" s="2"/>
    </row>
    <row r="67" spans="14:30">
      <c r="N67" s="2"/>
      <c r="O67" s="2"/>
      <c r="P67" s="2"/>
      <c r="Q67" s="2"/>
      <c r="R67" s="2"/>
      <c r="S67" s="2"/>
      <c r="T67" s="2"/>
      <c r="U67" s="2"/>
      <c r="V67" s="2"/>
      <c r="W67" s="2"/>
      <c r="X67" s="2"/>
      <c r="Y67" s="2"/>
      <c r="Z67" s="2"/>
      <c r="AA67" s="2"/>
      <c r="AB67" s="2"/>
      <c r="AC67" s="2"/>
      <c r="AD67" s="2"/>
    </row>
    <row r="68" spans="14:30">
      <c r="N68" s="2"/>
      <c r="O68" s="2"/>
      <c r="P68" s="2"/>
      <c r="Q68" s="2"/>
      <c r="R68" s="2"/>
      <c r="S68" s="2"/>
      <c r="T68" s="2"/>
      <c r="U68" s="2"/>
      <c r="V68" s="2"/>
      <c r="W68" s="2"/>
      <c r="X68" s="2"/>
      <c r="Y68" s="2"/>
      <c r="Z68" s="2"/>
      <c r="AA68" s="2"/>
      <c r="AB68" s="2"/>
      <c r="AC68" s="2"/>
      <c r="AD68" s="2"/>
    </row>
    <row r="69" spans="14:30">
      <c r="N69" s="2"/>
      <c r="O69" s="2"/>
      <c r="P69" s="2"/>
      <c r="Q69" s="2"/>
      <c r="R69" s="2"/>
      <c r="S69" s="2"/>
      <c r="T69" s="2"/>
      <c r="U69" s="2"/>
      <c r="V69" s="2"/>
      <c r="W69" s="2"/>
      <c r="X69" s="2"/>
      <c r="Y69" s="2"/>
      <c r="Z69" s="2"/>
      <c r="AA69" s="2"/>
      <c r="AB69" s="2"/>
      <c r="AC69" s="2"/>
      <c r="AD69" s="2"/>
    </row>
    <row r="70" spans="14:30">
      <c r="N70" s="2"/>
      <c r="O70" s="2"/>
      <c r="P70" s="2"/>
      <c r="Q70" s="2"/>
      <c r="R70" s="2"/>
      <c r="S70" s="2"/>
      <c r="T70" s="2"/>
      <c r="U70" s="2"/>
      <c r="V70" s="2"/>
      <c r="W70" s="2"/>
      <c r="X70" s="2"/>
      <c r="Y70" s="2"/>
      <c r="Z70" s="2"/>
      <c r="AA70" s="2"/>
      <c r="AB70" s="2"/>
      <c r="AC70" s="2"/>
      <c r="AD70" s="2"/>
    </row>
    <row r="71" spans="14:30">
      <c r="N71" s="2"/>
      <c r="O71" s="2"/>
      <c r="P71" s="2"/>
      <c r="Q71" s="2"/>
      <c r="R71" s="2"/>
      <c r="S71" s="2"/>
      <c r="T71" s="2"/>
      <c r="U71" s="2"/>
      <c r="V71" s="2"/>
      <c r="W71" s="2"/>
      <c r="X71" s="2"/>
      <c r="Y71" s="2"/>
      <c r="Z71" s="2"/>
      <c r="AA71" s="2"/>
      <c r="AB71" s="2"/>
      <c r="AC71" s="2"/>
      <c r="AD71" s="2"/>
    </row>
    <row r="72" spans="14:30">
      <c r="N72" s="2"/>
      <c r="O72" s="2"/>
      <c r="P72" s="2"/>
      <c r="Q72" s="2"/>
      <c r="R72" s="2"/>
      <c r="S72" s="2"/>
      <c r="T72" s="2"/>
      <c r="U72" s="2"/>
      <c r="V72" s="2"/>
      <c r="W72" s="2"/>
      <c r="X72" s="2"/>
      <c r="Y72" s="2"/>
      <c r="Z72" s="2"/>
      <c r="AA72" s="2"/>
      <c r="AB72" s="2"/>
      <c r="AC72" s="2"/>
      <c r="AD72" s="2"/>
    </row>
    <row r="73" spans="14:30">
      <c r="N73" s="2"/>
      <c r="O73" s="2"/>
      <c r="P73" s="2"/>
      <c r="Q73" s="2"/>
      <c r="R73" s="2"/>
      <c r="S73" s="2"/>
      <c r="T73" s="2"/>
      <c r="U73" s="2"/>
      <c r="V73" s="2"/>
      <c r="W73" s="2"/>
      <c r="X73" s="2"/>
      <c r="Y73" s="2"/>
      <c r="Z73" s="2"/>
      <c r="AA73" s="2"/>
      <c r="AB73" s="2"/>
      <c r="AC73" s="2"/>
      <c r="AD73" s="2"/>
    </row>
    <row r="74" spans="14:30">
      <c r="N74" s="2"/>
      <c r="O74" s="2"/>
      <c r="P74" s="2"/>
      <c r="Q74" s="2"/>
      <c r="R74" s="2"/>
      <c r="S74" s="2"/>
      <c r="T74" s="2"/>
      <c r="U74" s="2"/>
      <c r="V74" s="2"/>
      <c r="W74" s="2"/>
      <c r="X74" s="2"/>
      <c r="Y74" s="2"/>
      <c r="Z74" s="2"/>
      <c r="AA74" s="2"/>
      <c r="AB74" s="2"/>
      <c r="AC74" s="2"/>
      <c r="AD74" s="2"/>
    </row>
    <row r="75" spans="14:30">
      <c r="N75" s="2"/>
      <c r="O75" s="2"/>
      <c r="P75" s="2"/>
      <c r="Q75" s="2"/>
      <c r="R75" s="2"/>
      <c r="S75" s="2"/>
      <c r="T75" s="2"/>
      <c r="U75" s="2"/>
      <c r="V75" s="2"/>
      <c r="W75" s="2"/>
      <c r="X75" s="2"/>
      <c r="Y75" s="2"/>
      <c r="Z75" s="2"/>
      <c r="AA75" s="2"/>
      <c r="AB75" s="2"/>
      <c r="AC75" s="2"/>
      <c r="AD75" s="2"/>
    </row>
    <row r="76" spans="14:30">
      <c r="N76" s="2"/>
      <c r="O76" s="2"/>
      <c r="P76" s="2"/>
      <c r="Q76" s="2"/>
      <c r="R76" s="2"/>
      <c r="S76" s="2"/>
      <c r="T76" s="2"/>
      <c r="U76" s="2"/>
      <c r="V76" s="2"/>
      <c r="W76" s="2"/>
      <c r="X76" s="2"/>
      <c r="Y76" s="2"/>
      <c r="Z76" s="2"/>
      <c r="AA76" s="2"/>
      <c r="AB76" s="2"/>
      <c r="AC76" s="2"/>
      <c r="AD76" s="2"/>
    </row>
    <row r="77" spans="14:30">
      <c r="N77" s="2"/>
      <c r="O77" s="2"/>
      <c r="P77" s="2"/>
      <c r="Q77" s="2"/>
      <c r="R77" s="2"/>
      <c r="S77" s="2"/>
      <c r="T77" s="2"/>
      <c r="U77" s="2"/>
      <c r="V77" s="2"/>
      <c r="W77" s="2"/>
      <c r="X77" s="2"/>
      <c r="Y77" s="2"/>
      <c r="Z77" s="2"/>
      <c r="AA77" s="2"/>
      <c r="AB77" s="2"/>
      <c r="AC77" s="2"/>
      <c r="AD77" s="2"/>
    </row>
    <row r="78" spans="14:30">
      <c r="N78" s="2"/>
      <c r="O78" s="2"/>
      <c r="P78" s="2"/>
      <c r="Q78" s="2"/>
      <c r="R78" s="2"/>
      <c r="S78" s="2"/>
      <c r="T78" s="2"/>
      <c r="U78" s="2"/>
      <c r="V78" s="2"/>
      <c r="W78" s="2"/>
      <c r="X78" s="2"/>
      <c r="Y78" s="2"/>
      <c r="Z78" s="2"/>
      <c r="AA78" s="2"/>
      <c r="AB78" s="2"/>
      <c r="AC78" s="2"/>
      <c r="AD78" s="2"/>
    </row>
    <row r="79" spans="14:30">
      <c r="N79" s="2"/>
      <c r="O79" s="2"/>
      <c r="P79" s="2"/>
      <c r="Q79" s="2"/>
      <c r="R79" s="2"/>
      <c r="S79" s="2"/>
      <c r="T79" s="2"/>
      <c r="U79" s="2"/>
      <c r="V79" s="2"/>
      <c r="W79" s="2"/>
      <c r="X79" s="2"/>
      <c r="Y79" s="2"/>
      <c r="Z79" s="2"/>
      <c r="AA79" s="2"/>
      <c r="AB79" s="2"/>
      <c r="AC79" s="2"/>
      <c r="AD79" s="2"/>
    </row>
    <row r="80" spans="14:30">
      <c r="N80" s="2"/>
      <c r="O80" s="2"/>
      <c r="P80" s="2"/>
      <c r="Q80" s="2"/>
      <c r="R80" s="2"/>
      <c r="S80" s="2"/>
      <c r="T80" s="2"/>
      <c r="U80" s="2"/>
      <c r="V80" s="2"/>
      <c r="W80" s="2"/>
      <c r="X80" s="2"/>
      <c r="Y80" s="2"/>
      <c r="Z80" s="2"/>
      <c r="AA80" s="2"/>
      <c r="AB80" s="2"/>
      <c r="AC80" s="2"/>
      <c r="AD80" s="2"/>
    </row>
    <row r="81" spans="14:30">
      <c r="N81" s="2"/>
      <c r="O81" s="2"/>
      <c r="P81" s="2"/>
      <c r="Q81" s="2"/>
      <c r="R81" s="2"/>
      <c r="S81" s="2"/>
      <c r="T81" s="2"/>
      <c r="U81" s="2"/>
      <c r="V81" s="2"/>
      <c r="W81" s="2"/>
      <c r="X81" s="2"/>
      <c r="Y81" s="2"/>
      <c r="Z81" s="2"/>
      <c r="AA81" s="2"/>
      <c r="AB81" s="2"/>
      <c r="AC81" s="2"/>
      <c r="AD81" s="2"/>
    </row>
    <row r="82" spans="14:30">
      <c r="N82" s="2"/>
      <c r="O82" s="2"/>
      <c r="P82" s="2"/>
      <c r="Q82" s="2"/>
      <c r="R82" s="2"/>
      <c r="S82" s="2"/>
      <c r="T82" s="2"/>
      <c r="U82" s="2"/>
      <c r="V82" s="2"/>
      <c r="W82" s="2"/>
      <c r="X82" s="2"/>
      <c r="Y82" s="2"/>
      <c r="Z82" s="2"/>
      <c r="AA82" s="2"/>
      <c r="AB82" s="2"/>
      <c r="AC82" s="2"/>
      <c r="AD82" s="2"/>
    </row>
    <row r="83" spans="14:30">
      <c r="N83" s="2"/>
      <c r="O83" s="2"/>
      <c r="P83" s="2"/>
      <c r="Q83" s="2"/>
      <c r="R83" s="2"/>
      <c r="S83" s="2"/>
      <c r="T83" s="2"/>
      <c r="U83" s="2"/>
      <c r="V83" s="2"/>
      <c r="W83" s="2"/>
      <c r="X83" s="2"/>
      <c r="Y83" s="2"/>
      <c r="Z83" s="2"/>
      <c r="AA83" s="2"/>
      <c r="AB83" s="2"/>
      <c r="AC83" s="2"/>
      <c r="AD83" s="2"/>
    </row>
    <row r="84" spans="14:30">
      <c r="N84" s="2"/>
      <c r="O84" s="2"/>
      <c r="P84" s="2"/>
      <c r="Q84" s="2"/>
      <c r="R84" s="2"/>
      <c r="S84" s="2"/>
      <c r="T84" s="2"/>
      <c r="U84" s="2"/>
      <c r="V84" s="2"/>
      <c r="W84" s="2"/>
      <c r="X84" s="2"/>
      <c r="Y84" s="2"/>
      <c r="Z84" s="2"/>
      <c r="AA84" s="2"/>
      <c r="AB84" s="2"/>
      <c r="AC84" s="2"/>
      <c r="AD84" s="2"/>
    </row>
    <row r="85" spans="14:30">
      <c r="N85" s="2"/>
      <c r="O85" s="2"/>
      <c r="P85" s="2"/>
      <c r="Q85" s="2"/>
      <c r="R85" s="2"/>
      <c r="S85" s="2"/>
      <c r="T85" s="2"/>
      <c r="U85" s="2"/>
      <c r="V85" s="2"/>
      <c r="W85" s="2"/>
      <c r="X85" s="2"/>
      <c r="Y85" s="2"/>
      <c r="Z85" s="2"/>
      <c r="AA85" s="2"/>
      <c r="AB85" s="2"/>
      <c r="AC85" s="2"/>
      <c r="AD85" s="2"/>
    </row>
    <row r="86" spans="14:30">
      <c r="N86" s="2"/>
      <c r="O86" s="2"/>
      <c r="P86" s="2"/>
      <c r="Q86" s="2"/>
      <c r="R86" s="2"/>
      <c r="S86" s="2"/>
      <c r="T86" s="2"/>
      <c r="U86" s="2"/>
      <c r="V86" s="2"/>
      <c r="W86" s="2"/>
      <c r="X86" s="2"/>
      <c r="Y86" s="2"/>
      <c r="Z86" s="2"/>
      <c r="AA86" s="2"/>
      <c r="AB86" s="2"/>
      <c r="AC86" s="2"/>
      <c r="AD86" s="2"/>
    </row>
    <row r="87" spans="14:30">
      <c r="N87" s="2"/>
      <c r="O87" s="2"/>
      <c r="P87" s="2"/>
      <c r="Q87" s="2"/>
      <c r="R87" s="2"/>
      <c r="S87" s="2"/>
      <c r="T87" s="2"/>
      <c r="U87" s="2"/>
      <c r="V87" s="2"/>
      <c r="W87" s="2"/>
      <c r="X87" s="2"/>
      <c r="Y87" s="2"/>
      <c r="Z87" s="2"/>
      <c r="AA87" s="2"/>
      <c r="AB87" s="2"/>
      <c r="AC87" s="2"/>
      <c r="AD87" s="2"/>
    </row>
    <row r="88" spans="14:30">
      <c r="N88" s="2"/>
      <c r="O88" s="2"/>
      <c r="P88" s="2"/>
      <c r="Q88" s="2"/>
      <c r="R88" s="2"/>
      <c r="S88" s="2"/>
      <c r="T88" s="2"/>
      <c r="U88" s="2"/>
      <c r="V88" s="2"/>
      <c r="W88" s="2"/>
      <c r="X88" s="2"/>
      <c r="Y88" s="2"/>
      <c r="Z88" s="2"/>
      <c r="AA88" s="2"/>
      <c r="AB88" s="2"/>
      <c r="AC88" s="2"/>
      <c r="AD88" s="2"/>
    </row>
    <row r="89" spans="14:30">
      <c r="N89" s="2"/>
      <c r="O89" s="2"/>
      <c r="P89" s="2"/>
      <c r="Q89" s="2"/>
      <c r="R89" s="2"/>
      <c r="S89" s="2"/>
      <c r="T89" s="2"/>
      <c r="U89" s="2"/>
      <c r="V89" s="2"/>
      <c r="W89" s="2"/>
      <c r="X89" s="2"/>
      <c r="Y89" s="2"/>
      <c r="Z89" s="2"/>
      <c r="AA89" s="2"/>
      <c r="AB89" s="2"/>
      <c r="AC89" s="2"/>
      <c r="AD89" s="2"/>
    </row>
    <row r="90" spans="14:30">
      <c r="N90" s="2"/>
      <c r="O90" s="2"/>
      <c r="P90" s="2"/>
      <c r="Q90" s="2"/>
      <c r="R90" s="2"/>
      <c r="S90" s="2"/>
      <c r="T90" s="2"/>
      <c r="U90" s="2"/>
      <c r="V90" s="2"/>
      <c r="W90" s="2"/>
      <c r="X90" s="2"/>
      <c r="Y90" s="2"/>
      <c r="Z90" s="2"/>
      <c r="AA90" s="2"/>
      <c r="AB90" s="2"/>
      <c r="AC90" s="2"/>
      <c r="AD90" s="2"/>
    </row>
    <row r="91" spans="14:30">
      <c r="N91" s="2"/>
      <c r="O91" s="2"/>
      <c r="P91" s="2"/>
      <c r="Q91" s="2"/>
      <c r="R91" s="2"/>
      <c r="S91" s="2"/>
      <c r="T91" s="2"/>
      <c r="U91" s="2"/>
      <c r="V91" s="2"/>
      <c r="W91" s="2"/>
      <c r="X91" s="2"/>
      <c r="Y91" s="2"/>
      <c r="Z91" s="2"/>
      <c r="AA91" s="2"/>
      <c r="AB91" s="2"/>
      <c r="AC91" s="2"/>
      <c r="AD91" s="2"/>
    </row>
    <row r="92" spans="14:30">
      <c r="N92" s="2"/>
      <c r="O92" s="2"/>
      <c r="P92" s="2"/>
      <c r="Q92" s="2"/>
      <c r="R92" s="2"/>
      <c r="S92" s="2"/>
      <c r="T92" s="2"/>
      <c r="U92" s="2"/>
      <c r="V92" s="2"/>
      <c r="W92" s="2"/>
      <c r="X92" s="2"/>
      <c r="Y92" s="2"/>
      <c r="Z92" s="2"/>
      <c r="AA92" s="2"/>
      <c r="AB92" s="2"/>
      <c r="AC92" s="2"/>
      <c r="AD92" s="2"/>
    </row>
    <row r="93" spans="14:30">
      <c r="N93" s="2"/>
      <c r="O93" s="2"/>
      <c r="P93" s="2"/>
      <c r="Q93" s="2"/>
      <c r="R93" s="2"/>
      <c r="S93" s="2"/>
      <c r="T93" s="2"/>
      <c r="U93" s="2"/>
      <c r="V93" s="2"/>
      <c r="W93" s="2"/>
      <c r="X93" s="2"/>
      <c r="Y93" s="2"/>
      <c r="Z93" s="2"/>
      <c r="AA93" s="2"/>
      <c r="AB93" s="2"/>
      <c r="AC93" s="2"/>
      <c r="AD93" s="2"/>
    </row>
    <row r="94" spans="14:30">
      <c r="N94" s="2"/>
      <c r="O94" s="2"/>
      <c r="P94" s="2"/>
      <c r="Q94" s="2"/>
      <c r="R94" s="2"/>
      <c r="S94" s="2"/>
      <c r="T94" s="2"/>
      <c r="U94" s="2"/>
      <c r="V94" s="2"/>
      <c r="W94" s="2"/>
      <c r="X94" s="2"/>
      <c r="Y94" s="2"/>
      <c r="Z94" s="2"/>
      <c r="AA94" s="2"/>
      <c r="AB94" s="2"/>
      <c r="AC94" s="2"/>
      <c r="AD94" s="2"/>
    </row>
    <row r="95" spans="14:30">
      <c r="N95" s="2"/>
      <c r="O95" s="2"/>
      <c r="P95" s="2"/>
      <c r="Q95" s="2"/>
      <c r="R95" s="2"/>
      <c r="S95" s="2"/>
      <c r="T95" s="2"/>
      <c r="U95" s="2"/>
      <c r="V95" s="2"/>
      <c r="W95" s="2"/>
      <c r="X95" s="2"/>
      <c r="Y95" s="2"/>
      <c r="Z95" s="2"/>
      <c r="AA95" s="2"/>
      <c r="AB95" s="2"/>
      <c r="AC95" s="2"/>
      <c r="AD95" s="2"/>
    </row>
    <row r="96" spans="14:30">
      <c r="N96" s="2"/>
      <c r="O96" s="2"/>
      <c r="P96" s="2"/>
      <c r="Q96" s="2"/>
      <c r="R96" s="2"/>
      <c r="S96" s="2"/>
      <c r="T96" s="2"/>
      <c r="U96" s="2"/>
      <c r="V96" s="2"/>
      <c r="W96" s="2"/>
      <c r="X96" s="2"/>
      <c r="Y96" s="2"/>
      <c r="Z96" s="2"/>
      <c r="AA96" s="2"/>
      <c r="AB96" s="2"/>
      <c r="AC96" s="2"/>
      <c r="AD96" s="2"/>
    </row>
    <row r="97" spans="14:30">
      <c r="N97" s="2"/>
      <c r="O97" s="2"/>
      <c r="P97" s="2"/>
      <c r="Q97" s="2"/>
      <c r="R97" s="2"/>
      <c r="S97" s="2"/>
      <c r="T97" s="2"/>
      <c r="U97" s="2"/>
      <c r="V97" s="2"/>
      <c r="W97" s="2"/>
      <c r="X97" s="2"/>
      <c r="Y97" s="2"/>
      <c r="Z97" s="2"/>
      <c r="AA97" s="2"/>
      <c r="AB97" s="2"/>
      <c r="AC97" s="2"/>
      <c r="AD97" s="2"/>
    </row>
    <row r="98" spans="14:30">
      <c r="N98" s="2"/>
      <c r="O98" s="2"/>
      <c r="P98" s="2"/>
      <c r="Q98" s="2"/>
      <c r="R98" s="2"/>
      <c r="S98" s="2"/>
      <c r="T98" s="2"/>
      <c r="U98" s="2"/>
      <c r="V98" s="2"/>
      <c r="W98" s="2"/>
      <c r="X98" s="2"/>
      <c r="Y98" s="2"/>
      <c r="Z98" s="2"/>
      <c r="AA98" s="2"/>
      <c r="AB98" s="2"/>
      <c r="AC98" s="2"/>
      <c r="AD98" s="2"/>
    </row>
    <row r="99" spans="14:30">
      <c r="N99" s="2"/>
      <c r="O99" s="2"/>
      <c r="P99" s="2"/>
      <c r="Q99" s="2"/>
      <c r="R99" s="2"/>
      <c r="S99" s="2"/>
      <c r="T99" s="2"/>
      <c r="U99" s="2"/>
      <c r="V99" s="2"/>
      <c r="W99" s="2"/>
      <c r="X99" s="2"/>
      <c r="Y99" s="2"/>
      <c r="Z99" s="2"/>
      <c r="AA99" s="2"/>
      <c r="AB99" s="2"/>
      <c r="AC99" s="2"/>
      <c r="AD99" s="2"/>
    </row>
    <row r="100" spans="14:30">
      <c r="N100" s="2"/>
      <c r="O100" s="2"/>
      <c r="P100" s="2"/>
      <c r="Q100" s="2"/>
      <c r="R100" s="2"/>
      <c r="S100" s="2"/>
      <c r="T100" s="2"/>
      <c r="U100" s="2"/>
      <c r="V100" s="2"/>
      <c r="W100" s="2"/>
      <c r="X100" s="2"/>
      <c r="Y100" s="2"/>
      <c r="Z100" s="2"/>
      <c r="AA100" s="2"/>
      <c r="AB100" s="2"/>
      <c r="AC100" s="2"/>
      <c r="AD100" s="2"/>
    </row>
    <row r="101" spans="14:30">
      <c r="N101" s="2"/>
      <c r="O101" s="2"/>
      <c r="P101" s="2"/>
      <c r="Q101" s="2"/>
      <c r="R101" s="2"/>
      <c r="S101" s="2"/>
      <c r="T101" s="2"/>
      <c r="U101" s="2"/>
      <c r="V101" s="2"/>
      <c r="W101" s="2"/>
      <c r="X101" s="2"/>
      <c r="Y101" s="2"/>
      <c r="Z101" s="2"/>
      <c r="AA101" s="2"/>
      <c r="AB101" s="2"/>
      <c r="AC101" s="2"/>
      <c r="AD101" s="2"/>
    </row>
    <row r="102" spans="14:30">
      <c r="N102" s="2"/>
      <c r="O102" s="2"/>
      <c r="P102" s="2"/>
      <c r="Q102" s="2"/>
      <c r="R102" s="2"/>
      <c r="S102" s="2"/>
      <c r="T102" s="2"/>
      <c r="U102" s="2"/>
      <c r="V102" s="2"/>
      <c r="W102" s="2"/>
      <c r="X102" s="2"/>
      <c r="Y102" s="2"/>
      <c r="Z102" s="2"/>
      <c r="AA102" s="2"/>
      <c r="AB102" s="2"/>
      <c r="AC102" s="2"/>
      <c r="AD102" s="2"/>
    </row>
    <row r="103" spans="14:30">
      <c r="N103" s="2"/>
      <c r="O103" s="2"/>
      <c r="P103" s="2"/>
      <c r="Q103" s="2"/>
      <c r="R103" s="2"/>
      <c r="S103" s="2"/>
      <c r="T103" s="2"/>
      <c r="U103" s="2"/>
      <c r="V103" s="2"/>
      <c r="W103" s="2"/>
      <c r="X103" s="2"/>
      <c r="Y103" s="2"/>
      <c r="Z103" s="2"/>
      <c r="AA103" s="2"/>
      <c r="AB103" s="2"/>
      <c r="AC103" s="2"/>
      <c r="AD103" s="2"/>
    </row>
    <row r="104" spans="14:30">
      <c r="N104" s="2"/>
      <c r="O104" s="2"/>
      <c r="P104" s="2"/>
      <c r="Q104" s="2"/>
      <c r="R104" s="2"/>
      <c r="S104" s="2"/>
      <c r="T104" s="2"/>
      <c r="U104" s="2"/>
      <c r="V104" s="2"/>
      <c r="W104" s="2"/>
      <c r="X104" s="2"/>
      <c r="Y104" s="2"/>
      <c r="Z104" s="2"/>
      <c r="AA104" s="2"/>
      <c r="AB104" s="2"/>
      <c r="AC104" s="2"/>
      <c r="AD104" s="2"/>
    </row>
    <row r="105" spans="14:30">
      <c r="N105" s="2"/>
      <c r="O105" s="2"/>
      <c r="P105" s="2"/>
      <c r="Q105" s="2"/>
      <c r="R105" s="2"/>
      <c r="S105" s="2"/>
      <c r="T105" s="2"/>
      <c r="U105" s="2"/>
      <c r="V105" s="2"/>
      <c r="W105" s="2"/>
      <c r="X105" s="2"/>
      <c r="Y105" s="2"/>
      <c r="Z105" s="2"/>
      <c r="AA105" s="2"/>
      <c r="AB105" s="2"/>
      <c r="AC105" s="2"/>
      <c r="AD105" s="2"/>
    </row>
    <row r="106" spans="14:30">
      <c r="N106" s="2"/>
      <c r="O106" s="2"/>
      <c r="P106" s="2"/>
      <c r="Q106" s="2"/>
      <c r="R106" s="2"/>
      <c r="S106" s="2"/>
      <c r="T106" s="2"/>
      <c r="U106" s="2"/>
      <c r="V106" s="2"/>
      <c r="W106" s="2"/>
      <c r="X106" s="2"/>
      <c r="Y106" s="2"/>
      <c r="Z106" s="2"/>
      <c r="AA106" s="2"/>
      <c r="AB106" s="2"/>
      <c r="AC106" s="2"/>
      <c r="AD106" s="2"/>
    </row>
    <row r="107" spans="14:30">
      <c r="N107" s="2"/>
      <c r="O107" s="2"/>
      <c r="P107" s="2"/>
      <c r="Q107" s="2"/>
      <c r="R107" s="2"/>
      <c r="S107" s="2"/>
      <c r="T107" s="2"/>
      <c r="U107" s="2"/>
      <c r="V107" s="2"/>
      <c r="W107" s="2"/>
      <c r="X107" s="2"/>
      <c r="Y107" s="2"/>
      <c r="Z107" s="2"/>
      <c r="AA107" s="2"/>
      <c r="AB107" s="2"/>
      <c r="AC107" s="2"/>
      <c r="AD107" s="2"/>
    </row>
    <row r="108" spans="14:30">
      <c r="N108" s="2"/>
      <c r="O108" s="2"/>
      <c r="P108" s="2"/>
      <c r="Q108" s="2"/>
      <c r="R108" s="2"/>
      <c r="S108" s="2"/>
      <c r="T108" s="2"/>
      <c r="U108" s="2"/>
      <c r="V108" s="2"/>
      <c r="W108" s="2"/>
      <c r="X108" s="2"/>
      <c r="Y108" s="2"/>
      <c r="Z108" s="2"/>
      <c r="AA108" s="2"/>
      <c r="AB108" s="2"/>
      <c r="AC108" s="2"/>
      <c r="AD108" s="2"/>
    </row>
    <row r="109" spans="14:30">
      <c r="N109" s="2"/>
      <c r="O109" s="2"/>
      <c r="P109" s="2"/>
      <c r="Q109" s="2"/>
      <c r="R109" s="2"/>
      <c r="S109" s="2"/>
      <c r="T109" s="2"/>
      <c r="U109" s="2"/>
      <c r="V109" s="2"/>
      <c r="W109" s="2"/>
      <c r="X109" s="2"/>
      <c r="Y109" s="2"/>
      <c r="Z109" s="2"/>
      <c r="AA109" s="2"/>
      <c r="AB109" s="2"/>
      <c r="AC109" s="2"/>
      <c r="AD109" s="2"/>
    </row>
    <row r="110" spans="14:30">
      <c r="N110" s="2"/>
      <c r="O110" s="2"/>
      <c r="P110" s="2"/>
      <c r="Q110" s="2"/>
      <c r="R110" s="2"/>
      <c r="S110" s="2"/>
      <c r="T110" s="2"/>
      <c r="U110" s="2"/>
      <c r="V110" s="2"/>
      <c r="W110" s="2"/>
      <c r="X110" s="2"/>
      <c r="Y110" s="2"/>
      <c r="Z110" s="2"/>
      <c r="AA110" s="2"/>
      <c r="AB110" s="2"/>
      <c r="AC110" s="2"/>
      <c r="AD110" s="2"/>
    </row>
    <row r="111" spans="14:30">
      <c r="N111" s="2"/>
      <c r="O111" s="2"/>
      <c r="P111" s="2"/>
      <c r="Q111" s="2"/>
      <c r="R111" s="2"/>
      <c r="S111" s="2"/>
      <c r="T111" s="2"/>
      <c r="U111" s="2"/>
      <c r="V111" s="2"/>
      <c r="W111" s="2"/>
      <c r="X111" s="2"/>
      <c r="Y111" s="2"/>
      <c r="Z111" s="2"/>
      <c r="AA111" s="2"/>
      <c r="AB111" s="2"/>
      <c r="AC111" s="2"/>
      <c r="AD111" s="2"/>
    </row>
    <row r="112" spans="14:30">
      <c r="N112" s="2"/>
      <c r="O112" s="2"/>
      <c r="P112" s="2"/>
      <c r="Q112" s="2"/>
      <c r="R112" s="2"/>
      <c r="S112" s="2"/>
      <c r="T112" s="2"/>
      <c r="U112" s="2"/>
      <c r="V112" s="2"/>
      <c r="W112" s="2"/>
      <c r="X112" s="2"/>
      <c r="Y112" s="2"/>
      <c r="Z112" s="2"/>
      <c r="AA112" s="2"/>
      <c r="AB112" s="2"/>
      <c r="AC112" s="2"/>
      <c r="AD112" s="2"/>
    </row>
    <row r="113" spans="14:30">
      <c r="N113" s="2"/>
      <c r="O113" s="2"/>
      <c r="P113" s="2"/>
      <c r="Q113" s="2"/>
      <c r="R113" s="2"/>
      <c r="S113" s="2"/>
      <c r="T113" s="2"/>
      <c r="U113" s="2"/>
      <c r="V113" s="2"/>
      <c r="W113" s="2"/>
      <c r="X113" s="2"/>
      <c r="Y113" s="2"/>
      <c r="Z113" s="2"/>
      <c r="AA113" s="2"/>
      <c r="AB113" s="2"/>
      <c r="AC113" s="2"/>
      <c r="AD113" s="2"/>
    </row>
  </sheetData>
  <mergeCells count="14">
    <mergeCell ref="R43:S43"/>
    <mergeCell ref="O1:P1"/>
    <mergeCell ref="O2:P2"/>
    <mergeCell ref="G4:H4"/>
    <mergeCell ref="I2:L2"/>
    <mergeCell ref="M18:M20"/>
    <mergeCell ref="F9:H9"/>
    <mergeCell ref="I18:L18"/>
    <mergeCell ref="C43:D43"/>
    <mergeCell ref="M34:M36"/>
    <mergeCell ref="J27:K27"/>
    <mergeCell ref="M25:M27"/>
    <mergeCell ref="Q47:Q48"/>
    <mergeCell ref="Q44:Q45"/>
  </mergeCells>
  <phoneticPr fontId="0" type="noConversion"/>
  <conditionalFormatting sqref="E15">
    <cfRule type="expression" dxfId="52" priority="7" stopIfTrue="1">
      <formula>C15=0</formula>
    </cfRule>
  </conditionalFormatting>
  <conditionalFormatting sqref="G31:G39 H32 G30:H30 B36:E36 B37:F39 B30:B35 D30:F35 C29:C35">
    <cfRule type="expression" dxfId="51" priority="8" stopIfTrue="1">
      <formula>$I$25&gt;=$I$26</formula>
    </cfRule>
  </conditionalFormatting>
  <conditionalFormatting sqref="C15:D16">
    <cfRule type="cellIs" dxfId="50" priority="10" stopIfTrue="1" operator="equal">
      <formula>0</formula>
    </cfRule>
  </conditionalFormatting>
  <conditionalFormatting sqref="Q28 T28 N28">
    <cfRule type="cellIs" dxfId="49" priority="11" stopIfTrue="1" operator="equal">
      <formula>"ok"</formula>
    </cfRule>
  </conditionalFormatting>
  <conditionalFormatting sqref="R20 U20">
    <cfRule type="cellIs" dxfId="48" priority="12" stopIfTrue="1" operator="equal">
      <formula>"INVALID"</formula>
    </cfRule>
  </conditionalFormatting>
  <conditionalFormatting sqref="M28">
    <cfRule type="cellIs" dxfId="47" priority="13" stopIfTrue="1" operator="equal">
      <formula>""</formula>
    </cfRule>
  </conditionalFormatting>
  <conditionalFormatting sqref="F10:G10">
    <cfRule type="cellIs" dxfId="46" priority="14" stopIfTrue="1" operator="equal">
      <formula>"."</formula>
    </cfRule>
  </conditionalFormatting>
  <conditionalFormatting sqref="F9">
    <cfRule type="cellIs" dxfId="45" priority="15" stopIfTrue="1" operator="equal">
      <formula>"VALID DESIGN"</formula>
    </cfRule>
  </conditionalFormatting>
  <conditionalFormatting sqref="M15:M16 M30 M13 M23 I18">
    <cfRule type="cellIs" dxfId="44" priority="16" stopIfTrue="1" operator="equal">
      <formula>"√"</formula>
    </cfRule>
  </conditionalFormatting>
  <conditionalFormatting sqref="F17:H17">
    <cfRule type="expression" dxfId="43" priority="17" stopIfTrue="1">
      <formula>$O$3=$O$1</formula>
    </cfRule>
  </conditionalFormatting>
  <conditionalFormatting sqref="M18:M20">
    <cfRule type="expression" dxfId="42" priority="18" stopIfTrue="1">
      <formula>$O$3=$O$1</formula>
    </cfRule>
  </conditionalFormatting>
  <conditionalFormatting sqref="F18:H18">
    <cfRule type="expression" dxfId="41" priority="19" stopIfTrue="1">
      <formula>$O$3=$O$1</formula>
    </cfRule>
    <cfRule type="expression" dxfId="40" priority="20" stopIfTrue="1">
      <formula>$Z$3&gt;$AA$3</formula>
    </cfRule>
  </conditionalFormatting>
  <conditionalFormatting sqref="I26">
    <cfRule type="expression" dxfId="39" priority="21" stopIfTrue="1">
      <formula>$K$26&gt;1</formula>
    </cfRule>
  </conditionalFormatting>
  <conditionalFormatting sqref="M14">
    <cfRule type="cellIs" dxfId="38" priority="6" stopIfTrue="1" operator="equal">
      <formula>"√"</formula>
    </cfRule>
  </conditionalFormatting>
  <conditionalFormatting sqref="M12">
    <cfRule type="cellIs" dxfId="37" priority="5" stopIfTrue="1" operator="equal">
      <formula>"√"</formula>
    </cfRule>
  </conditionalFormatting>
  <conditionalFormatting sqref="D26">
    <cfRule type="expression" dxfId="36" priority="26" stopIfTrue="1">
      <formula>$M$22="√"</formula>
    </cfRule>
  </conditionalFormatting>
  <conditionalFormatting sqref="M25">
    <cfRule type="cellIs" dxfId="35" priority="4" stopIfTrue="1" operator="equal">
      <formula>"√"</formula>
    </cfRule>
  </conditionalFormatting>
  <conditionalFormatting sqref="M34:M36">
    <cfRule type="expression" dxfId="34" priority="3">
      <formula>$Q$36=0</formula>
    </cfRule>
  </conditionalFormatting>
  <conditionalFormatting sqref="M22">
    <cfRule type="cellIs" dxfId="33" priority="1" stopIfTrue="1" operator="equal">
      <formula>"√"</formula>
    </cfRule>
  </conditionalFormatting>
  <printOptions horizontalCentered="1"/>
  <pageMargins left="0.25" right="0.25" top="0.25" bottom="0.25" header="0" footer="0"/>
  <pageSetup paperSize="9" scale="93" orientation="portrait" r:id="rId1"/>
  <headerFooter alignWithMargins="0"/>
  <drawing r:id="rId2"/>
  <legacyDrawing r:id="rId3"/>
  <picture r:id="rId4"/>
  <controls>
    <mc:AlternateContent xmlns:mc="http://schemas.openxmlformats.org/markup-compatibility/2006">
      <mc:Choice Requires="x14">
        <control shapeId="3078" r:id="rId5" name="ComboBox1">
          <controlPr defaultSize="0" autoFill="0" autoLine="0" linkedCell="O3" listFillRange="O1:O2" r:id="rId6">
            <anchor moveWithCells="1">
              <from>
                <xdr:col>12</xdr:col>
                <xdr:colOff>142875</xdr:colOff>
                <xdr:row>9</xdr:row>
                <xdr:rowOff>28575</xdr:rowOff>
              </from>
              <to>
                <xdr:col>12</xdr:col>
                <xdr:colOff>2105025</xdr:colOff>
                <xdr:row>10</xdr:row>
                <xdr:rowOff>66675</xdr:rowOff>
              </to>
            </anchor>
          </controlPr>
        </control>
      </mc:Choice>
      <mc:Fallback>
        <control shapeId="3078" r:id="rId5" name="ComboBox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indexed="62"/>
    <pageSetUpPr fitToPage="1"/>
  </sheetPr>
  <dimension ref="A1:AO111"/>
  <sheetViews>
    <sheetView showGridLines="0" zoomScale="89" zoomScaleNormal="89" workbookViewId="0">
      <selection activeCell="J21" sqref="J21"/>
    </sheetView>
  </sheetViews>
  <sheetFormatPr defaultRowHeight="15"/>
  <cols>
    <col min="1" max="1" width="2.77734375" customWidth="1"/>
    <col min="2" max="2" width="13.21875" customWidth="1"/>
    <col min="3" max="3" width="7.21875" customWidth="1"/>
    <col min="4" max="4" width="6.77734375" customWidth="1"/>
    <col min="5" max="5" width="7.77734375" customWidth="1"/>
    <col min="6" max="7" width="6.77734375" customWidth="1"/>
    <col min="8" max="8" width="7.77734375" customWidth="1"/>
    <col min="9" max="9" width="8.77734375" customWidth="1"/>
    <col min="10" max="10" width="6.77734375" customWidth="1"/>
    <col min="11" max="12" width="8.77734375" customWidth="1"/>
    <col min="13" max="13" width="26.77734375" customWidth="1"/>
    <col min="14" max="14" width="11.21875" customWidth="1"/>
    <col min="15" max="15" width="13.33203125" customWidth="1"/>
    <col min="16" max="16" width="7.77734375" customWidth="1"/>
    <col min="17" max="17" width="9.88671875" customWidth="1"/>
    <col min="18" max="18" width="11.77734375" customWidth="1"/>
    <col min="19" max="19" width="7.77734375" customWidth="1"/>
    <col min="20" max="20" width="9.88671875" customWidth="1"/>
    <col min="21" max="21" width="13.109375" customWidth="1"/>
    <col min="22" max="22" width="7.77734375" customWidth="1"/>
    <col min="23" max="23" width="7.21875" customWidth="1"/>
    <col min="24" max="36" width="6.77734375" customWidth="1"/>
  </cols>
  <sheetData>
    <row r="1" spans="1:41" ht="20.25" thickBot="1">
      <c r="A1" s="352"/>
      <c r="B1" s="226"/>
      <c r="C1" s="226"/>
      <c r="D1" s="226"/>
      <c r="E1" s="226"/>
      <c r="F1" s="226"/>
      <c r="G1" s="226"/>
      <c r="H1" s="226"/>
      <c r="I1" s="226"/>
      <c r="J1" s="226"/>
      <c r="K1" s="226"/>
      <c r="L1" s="226"/>
      <c r="M1" s="227"/>
      <c r="N1" s="378"/>
      <c r="O1" s="2"/>
      <c r="P1" s="713" t="s">
        <v>418</v>
      </c>
      <c r="Q1" s="714"/>
      <c r="R1" s="3" t="str">
        <f>IF(NOT(E9=500),"X",IF(E10="B","B",IF(E10="C","C","H")))</f>
        <v>H</v>
      </c>
      <c r="S1" s="3" t="str">
        <f>R1&amp;IF(P28=1,P14,IF(S28=1,S12,V12))&amp;" @ "</f>
        <v xml:space="preserve">H8 @ </v>
      </c>
      <c r="U1" s="1" t="s">
        <v>72</v>
      </c>
      <c r="V1" s="15">
        <f>1000*(E$17-E$18*AL6)*G$17/AG6/G$22</f>
        <v>1.3168880226840327</v>
      </c>
      <c r="W1" s="37" t="str">
        <f>IF(P31+D34&gt;T4,"x ","")</f>
        <v xml:space="preserve">x </v>
      </c>
      <c r="Y1" s="460" t="s">
        <v>38</v>
      </c>
      <c r="Z1" s="461"/>
      <c r="AA1" s="461"/>
      <c r="AB1" s="461"/>
      <c r="AC1" s="461"/>
      <c r="AD1" s="461"/>
      <c r="AE1" s="738" t="s">
        <v>259</v>
      </c>
      <c r="AF1" s="461"/>
      <c r="AG1" s="461"/>
      <c r="AI1" s="468" t="s">
        <v>71</v>
      </c>
      <c r="AJ1" s="469"/>
      <c r="AK1" s="470"/>
      <c r="AL1" s="469"/>
    </row>
    <row r="2" spans="1:41" ht="26.25" thickBot="1">
      <c r="A2" s="228"/>
      <c r="B2" s="265" t="s">
        <v>13</v>
      </c>
      <c r="C2" s="338" t="str">
        <f>INTERNAL!C2</f>
        <v>Milton Keynes</v>
      </c>
      <c r="D2" s="298"/>
      <c r="E2" s="298"/>
      <c r="F2" s="298"/>
      <c r="G2" s="298"/>
      <c r="H2" s="299"/>
      <c r="I2" s="734" t="str">
        <f>INTERNAL!$I$2</f>
        <v>The Concrete Centre</v>
      </c>
      <c r="J2" s="735"/>
      <c r="K2" s="735"/>
      <c r="L2" s="736"/>
      <c r="M2" s="229"/>
      <c r="N2" s="379"/>
      <c r="O2" s="2"/>
      <c r="P2" s="715" t="s">
        <v>419</v>
      </c>
      <c r="Q2" s="716"/>
      <c r="R2" s="2"/>
      <c r="S2" s="1" t="s">
        <v>223</v>
      </c>
      <c r="T2" s="213">
        <f>SQRT(MAX(AC20^2+AC21^2,Z20^2+Z21^2,AA20^2+AA21^2,AB20^2+AB21^2))</f>
        <v>1.4142135623730951E-10</v>
      </c>
      <c r="U2" s="14" t="s">
        <v>73</v>
      </c>
      <c r="V2" s="15">
        <f>1000*(E$17-E$18*AL5)*G$17/AG5/G$22</f>
        <v>0.79891206709497864</v>
      </c>
      <c r="W2" s="38" t="str">
        <f>IF(P31+D34&gt;V4,"Asy","")</f>
        <v>Asy</v>
      </c>
      <c r="Y2" s="463" t="s">
        <v>3</v>
      </c>
      <c r="Z2" s="463" t="s">
        <v>0</v>
      </c>
      <c r="AA2" s="463" t="s">
        <v>33</v>
      </c>
      <c r="AB2" s="463" t="s">
        <v>36</v>
      </c>
      <c r="AC2" s="463" t="s">
        <v>35</v>
      </c>
      <c r="AD2" s="463" t="s">
        <v>34</v>
      </c>
      <c r="AE2" s="739"/>
      <c r="AF2" s="463" t="s">
        <v>1</v>
      </c>
      <c r="AG2" s="463" t="s">
        <v>410</v>
      </c>
      <c r="AH2" s="463" t="s">
        <v>411</v>
      </c>
      <c r="AI2" s="471" t="s">
        <v>0</v>
      </c>
      <c r="AJ2" s="471" t="s">
        <v>33</v>
      </c>
      <c r="AK2" s="471" t="s">
        <v>85</v>
      </c>
      <c r="AL2" s="471" t="s">
        <v>37</v>
      </c>
    </row>
    <row r="3" spans="1:41" ht="18">
      <c r="A3" s="226"/>
      <c r="B3" s="267" t="s">
        <v>14</v>
      </c>
      <c r="C3" s="339" t="str">
        <f>INTERNAL!C3</f>
        <v>Abbey Gate Developments</v>
      </c>
      <c r="D3" s="334"/>
      <c r="E3" s="301"/>
      <c r="F3" s="302"/>
      <c r="G3" s="302"/>
      <c r="H3" s="303"/>
      <c r="I3" s="316" t="s">
        <v>15</v>
      </c>
      <c r="J3" s="317" t="s">
        <v>16</v>
      </c>
      <c r="K3" s="318"/>
      <c r="L3" s="319" t="s">
        <v>17</v>
      </c>
      <c r="M3" s="229"/>
      <c r="N3" s="379"/>
      <c r="O3" s="2"/>
      <c r="P3" s="13" t="s">
        <v>306</v>
      </c>
      <c r="Q3" s="77"/>
      <c r="R3" s="77"/>
      <c r="U3" s="76" t="s">
        <v>9</v>
      </c>
      <c r="W3" s="39" t="str">
        <f>W1&amp;"&amp; "&amp;W2</f>
        <v>x &amp; Asy</v>
      </c>
      <c r="Y3" s="80">
        <v>1</v>
      </c>
      <c r="Z3" s="81">
        <f>2*G22</f>
        <v>610</v>
      </c>
      <c r="AA3" s="372">
        <f>2*PI()*Z3+2*($E$12+$E$13)</f>
        <v>6082.7430373795478</v>
      </c>
      <c r="AB3" s="81">
        <f>PI()*Z3+$E$12+2*$E$13+2*E$15</f>
        <v>3266.3715186897739</v>
      </c>
      <c r="AC3" s="81">
        <f>PI()*Z3+$E$13+2*$E$12+2*E$14</f>
        <v>3941.3715186897739</v>
      </c>
      <c r="AD3" s="81">
        <f>PI()/2*Z3+SUM(E$12:E$15)</f>
        <v>2083.1857593448867</v>
      </c>
      <c r="AE3" s="81">
        <f>MIN(AA3:AD3)</f>
        <v>2083.1857593448867</v>
      </c>
      <c r="AF3" s="81">
        <f>AC24</f>
        <v>0</v>
      </c>
      <c r="AG3" s="82">
        <f>AE3-AF3</f>
        <v>2083.1857593448867</v>
      </c>
      <c r="AH3" s="136">
        <f>(E$17-E$18*AL3-E$19/1000*(SUM(E$12:E$15)+2*AI3))*G$17</f>
        <v>269.81152146547862</v>
      </c>
      <c r="AI3" s="80">
        <v>0</v>
      </c>
      <c r="AJ3" s="370">
        <f>($E$12*$E$13+2*AI3*($E$12+$E$13)+PI()*AI3^2)/1000000</f>
        <v>0.20250000000000001</v>
      </c>
      <c r="AK3" s="370">
        <f>MIN($E$12*$E$13+AI3*($E$12+2*$E$13)+PI()*AI3^2/2+E$15*(E$12+2*AI3),$E$12*$E$13+AI3*($E$13+2*$E$12)+PI()*AI3^2/2+E$14*(E$13+2*AI3))/1000000</f>
        <v>0.20250000000000001</v>
      </c>
      <c r="AL3" s="85">
        <f>MIN(AJ3:AK3,((E$12+E$14)*(E$13+E$15)+PI()*AI3^2/4)/1000000)</f>
        <v>0.20250000000000001</v>
      </c>
    </row>
    <row r="4" spans="1:41" ht="19.5">
      <c r="A4" s="226"/>
      <c r="B4" s="267" t="s">
        <v>18</v>
      </c>
      <c r="C4" s="268" t="s">
        <v>60</v>
      </c>
      <c r="D4" s="335"/>
      <c r="E4" s="301"/>
      <c r="F4" s="304"/>
      <c r="G4" s="741"/>
      <c r="H4" s="742"/>
      <c r="I4" s="375" t="str">
        <f>INTERNAL!I4</f>
        <v>SM</v>
      </c>
      <c r="J4" s="306">
        <f ca="1">INTERNAL!J4</f>
        <v>43662</v>
      </c>
      <c r="K4" s="307"/>
      <c r="L4" s="308">
        <f>INTERNAL!L4+2</f>
        <v>3</v>
      </c>
      <c r="M4" s="230"/>
      <c r="N4" s="381"/>
      <c r="O4" s="18" t="s">
        <v>75</v>
      </c>
      <c r="P4" s="703">
        <f>IF(γRC&lt;22,0.5,0.6)*(1-E8/250)</f>
        <v>0.5232</v>
      </c>
      <c r="Q4" s="240" t="s">
        <v>91</v>
      </c>
      <c r="R4" s="364">
        <f>MIN(E9/Refs!D8,250+G22/4)</f>
        <v>326.25</v>
      </c>
      <c r="S4" s="365" t="s">
        <v>83</v>
      </c>
      <c r="T4" s="366">
        <f>(E13+E15)/2</f>
        <v>112.5</v>
      </c>
      <c r="U4" s="365" t="s">
        <v>84</v>
      </c>
      <c r="V4" s="35">
        <f>(E12+E14)/2</f>
        <v>450</v>
      </c>
      <c r="Y4" s="86" t="s">
        <v>409</v>
      </c>
      <c r="Z4" s="688">
        <f>1+Z13</f>
        <v>245.58448505122047</v>
      </c>
      <c r="AA4" s="111">
        <f>2*PI()*Z4+2*($E$12+$E$13)</f>
        <v>3793.0528281450934</v>
      </c>
      <c r="AB4" s="87">
        <f>PI()*Z4+$E$12+2*$E$13+2*E$15</f>
        <v>2121.5264140725467</v>
      </c>
      <c r="AC4" s="87">
        <f>PI()*Z4+$E$13+2*$E$12+2*E$14</f>
        <v>2796.5264140725467</v>
      </c>
      <c r="AD4" s="87">
        <f>PI()/2*Z4+SUM(E$12:E$15)</f>
        <v>1510.7632070362733</v>
      </c>
      <c r="AE4" s="87">
        <f>MIN(AA4:AD4)</f>
        <v>1510.7632070362733</v>
      </c>
      <c r="AF4" s="696">
        <f>AF$9*Z4/Z$9</f>
        <v>0</v>
      </c>
      <c r="AG4" s="88">
        <f>AE4-AF4</f>
        <v>1510.7632070362733</v>
      </c>
      <c r="AH4" s="687">
        <f>(E$17-E$18*AL4-E$19/1000*(SUM(E$12:E$15)+2*AI4))*G$17</f>
        <v>293.70882165916402</v>
      </c>
      <c r="AI4" s="89">
        <f>Z4-2*G22</f>
        <v>-364.41551494877956</v>
      </c>
      <c r="AJ4" s="363">
        <f>($E$12*$E$13+2*AI4*($E$12+$E$13)+PI()*AI4^2)/1000000</f>
        <v>-0.20023559029907767</v>
      </c>
      <c r="AK4" s="363">
        <f>MIN($E$12*$E$13+AI4*($E$12+2*$E$13)+PI()*AI4^2/2+E$15*(E$12+2*AI4),$E$12*$E$13+AI4*($E$13+2*$E$12)+PI()*AI4^2/2+E$14*(E$13+2*AI4))/1000000</f>
        <v>-0.3268417586034405</v>
      </c>
      <c r="AL4" s="90">
        <f>MIN(AJ4:AK4,((E$12+E$14)*(E$13+E$15)+PI()*AI4^2/4)/1000000)</f>
        <v>-0.3268417586034405</v>
      </c>
      <c r="AM4" s="26">
        <f>(1000*AH4/AG4/G$22)/I$24</f>
        <v>0.91539851930111282</v>
      </c>
    </row>
    <row r="5" spans="1:41" ht="19.5">
      <c r="A5" s="226"/>
      <c r="B5" s="269"/>
      <c r="C5" s="270" t="str">
        <f>INTERNAL!C5</f>
        <v>PUNCHING SHEAR to BS EN 1992-1: 2004</v>
      </c>
      <c r="D5" s="336"/>
      <c r="E5" s="310"/>
      <c r="F5" s="304"/>
      <c r="G5" s="333"/>
      <c r="H5" s="337" t="s">
        <v>66</v>
      </c>
      <c r="I5" s="320" t="s">
        <v>19</v>
      </c>
      <c r="J5" s="321" t="s">
        <v>20</v>
      </c>
      <c r="K5" s="322"/>
      <c r="L5" s="323" t="s">
        <v>21</v>
      </c>
      <c r="M5" s="83"/>
      <c r="N5" s="83"/>
      <c r="O5" s="1" t="s">
        <v>76</v>
      </c>
      <c r="P5" s="33">
        <f>E8/Refs!D7*Refs!D9</f>
        <v>21.333333333333332</v>
      </c>
      <c r="Q5" s="78"/>
      <c r="R5" s="79"/>
      <c r="S5" s="367" t="s">
        <v>155</v>
      </c>
      <c r="T5" s="368">
        <f>MAX(E12:E13)</f>
        <v>900</v>
      </c>
      <c r="U5" s="365" t="s">
        <v>87</v>
      </c>
      <c r="V5" s="35">
        <f>(E12+E14)/2+E13+E15</f>
        <v>675</v>
      </c>
      <c r="W5" s="610"/>
      <c r="Y5" s="86" t="s">
        <v>45</v>
      </c>
      <c r="Z5" s="87">
        <f>MAX(0.000000000001,H12-E12/2,-H12-H15-E12/2,H13-E13/2,-H13-H14-E13/2)</f>
        <v>9.9999999999999998E-13</v>
      </c>
      <c r="AA5" s="111">
        <f>2*PI()*Z5+2*($E$12+$E$13)</f>
        <v>2250.0000000000064</v>
      </c>
      <c r="AB5" s="87">
        <f>PI()*Z5+$E$12+2*$E$13+2*E$15</f>
        <v>1350.0000000000032</v>
      </c>
      <c r="AC5" s="87">
        <f>PI()*Z5+$E$13+2*$E$12+2*E$14</f>
        <v>2025.0000000000032</v>
      </c>
      <c r="AD5" s="87">
        <f>PI()/2*Z5+SUM(E$12:E$15)</f>
        <v>1125.0000000000016</v>
      </c>
      <c r="AE5" s="87">
        <f>MIN(AA5:AD5)</f>
        <v>1125.0000000000016</v>
      </c>
      <c r="AF5" s="87">
        <f>AC26</f>
        <v>0</v>
      </c>
      <c r="AG5" s="88">
        <f>AE5-AF5</f>
        <v>1125.0000000000016</v>
      </c>
      <c r="AH5" s="136">
        <f>(E$17-E$18*AL5-E$19/1000*(SUM(E$12:E$15)+2*AI5))*G$17</f>
        <v>269.81152146547862</v>
      </c>
      <c r="AI5" s="89">
        <f>MAX(0,Z5-0.75*EDGE!G$23)</f>
        <v>0</v>
      </c>
      <c r="AJ5" s="363">
        <f>($E$12*$E$13+2*AI5*($E$12+$E$13)+PI()*AI5^2)/1000000</f>
        <v>0.20250000000000001</v>
      </c>
      <c r="AK5" s="363">
        <f>MIN($E$12*$E$13+AI5*($E$12+2*$E$13)+PI()*AI5^2/2+E$15*(E$12+2*AI5),$E$12*$E$13+AI5*($E$13+2*$E$12)+PI()*AI5^2/2+E$14*(E$13+2*AI5))/1000000</f>
        <v>0.20250000000000001</v>
      </c>
      <c r="AL5" s="90">
        <f>MIN(AJ5:AK5,((E$12+E$14)*(E$13+E$15)+PI()*AI5^2/4)/1000000)</f>
        <v>0.20250000000000001</v>
      </c>
    </row>
    <row r="6" spans="1:41" ht="20.25" thickBot="1">
      <c r="A6" s="226"/>
      <c r="B6" s="341"/>
      <c r="C6" s="342" t="str">
        <f ca="1">EDGE!C6</f>
        <v>Originated from TCC13.xlsm v4.16 on CD                © 2003-19 TCC</v>
      </c>
      <c r="D6" s="343"/>
      <c r="E6" s="344"/>
      <c r="F6" s="345"/>
      <c r="G6" s="304"/>
      <c r="H6" s="346" t="s">
        <v>64</v>
      </c>
      <c r="I6" s="376" t="str">
        <f>INTERNAL!I6</f>
        <v>AP</v>
      </c>
      <c r="J6" s="347" t="s">
        <v>59</v>
      </c>
      <c r="K6" s="348"/>
      <c r="L6" s="377">
        <f>INTERNAL!L6</f>
        <v>3259</v>
      </c>
      <c r="M6" s="231"/>
      <c r="N6" s="231"/>
      <c r="O6" s="1" t="s">
        <v>77</v>
      </c>
      <c r="P6" s="34">
        <f>MIN(2,1+SQRT(200/G22))</f>
        <v>1.809776330178916</v>
      </c>
      <c r="Q6" s="78" t="s">
        <v>147</v>
      </c>
      <c r="R6" s="79" t="str">
        <f>IF(OR(H15=0,H14=0,MAX(IF(H12&lt;0,-H12-E12/2-H15,H12-E12/2),IF(H13&lt;0,-H13-E13/2-H14,H13-E13/2))&gt;6*G22),"NO","YES")</f>
        <v>NO</v>
      </c>
      <c r="S6" s="133" t="s">
        <v>156</v>
      </c>
      <c r="T6" s="134">
        <f>MIN(E12:E13)</f>
        <v>225</v>
      </c>
      <c r="U6" s="36" t="s">
        <v>86</v>
      </c>
      <c r="V6" s="35">
        <f>E12+E14+(E13+E15)/2</f>
        <v>1012.5</v>
      </c>
      <c r="Y6" s="373" t="s">
        <v>46</v>
      </c>
      <c r="Z6" s="93">
        <v>0</v>
      </c>
      <c r="AA6" s="374">
        <f>2*PI()*Z6+2*($E$12+$E$13)</f>
        <v>2250</v>
      </c>
      <c r="AB6" s="93">
        <f>PI()*Z6+$E$12+2*$E$13+2*E$15</f>
        <v>1350</v>
      </c>
      <c r="AC6" s="93">
        <f>PI()*Z6+$E$13+2*$E$12+2*E$14</f>
        <v>2025</v>
      </c>
      <c r="AD6" s="93">
        <f>MIN(1.5*G22,E12+E14)+MIN(1.5*G22,E13+E15)</f>
        <v>682.5</v>
      </c>
      <c r="AE6" s="93">
        <f>MIN(AA6:AD6)</f>
        <v>682.5</v>
      </c>
      <c r="AF6" s="93">
        <f>AC27</f>
        <v>0</v>
      </c>
      <c r="AG6" s="94">
        <f>AE6-AF6</f>
        <v>682.5</v>
      </c>
      <c r="AH6" s="136">
        <f>(E$17-E$18*AL6-E$19/1000*(SUM(E$12:E$15)+2*AI6))*G$17</f>
        <v>269.81152146547862</v>
      </c>
      <c r="AI6" s="95">
        <v>0</v>
      </c>
      <c r="AJ6" s="371"/>
      <c r="AK6" s="371"/>
      <c r="AL6" s="96">
        <f>AL3</f>
        <v>0.20250000000000001</v>
      </c>
      <c r="AM6" s="8"/>
      <c r="AN6" s="8"/>
      <c r="AO6" s="8"/>
    </row>
    <row r="7" spans="1:41" ht="18">
      <c r="A7" s="226"/>
      <c r="B7" s="273"/>
      <c r="C7" s="349"/>
      <c r="D7" s="274"/>
      <c r="E7" s="274"/>
      <c r="F7" s="274"/>
      <c r="G7" s="274"/>
      <c r="H7" s="274"/>
      <c r="I7" s="274"/>
      <c r="J7" s="274"/>
      <c r="K7" s="274"/>
      <c r="L7" s="275"/>
      <c r="M7" s="232"/>
      <c r="N7" s="232"/>
      <c r="AM7" s="8"/>
      <c r="AN7" s="8"/>
      <c r="AO7" s="8"/>
    </row>
    <row r="8" spans="1:41" ht="19.5">
      <c r="A8" s="226"/>
      <c r="B8" s="276" t="s">
        <v>23</v>
      </c>
      <c r="C8" s="249" t="s">
        <v>68</v>
      </c>
      <c r="D8" s="250" t="s">
        <v>22</v>
      </c>
      <c r="E8" s="284">
        <f>INTERNAL!E8</f>
        <v>32</v>
      </c>
      <c r="F8" s="263" t="s">
        <v>40</v>
      </c>
      <c r="G8" s="264"/>
      <c r="H8" s="255"/>
      <c r="I8" s="332" t="s">
        <v>70</v>
      </c>
      <c r="J8" s="255"/>
      <c r="K8" s="255"/>
      <c r="L8" s="278"/>
      <c r="M8" s="233"/>
      <c r="N8" s="233"/>
      <c r="O8" s="458" t="s">
        <v>101</v>
      </c>
      <c r="P8" s="34"/>
      <c r="S8" s="459" t="s">
        <v>257</v>
      </c>
      <c r="T8" s="40">
        <f>3+IF(MIN(E13/2,E13/2+E15)&lt;G22,0,1)+IF(MIN(E12/2,E12/2+E14)&lt;G22,0,1)</f>
        <v>4</v>
      </c>
      <c r="V8" s="459" t="s">
        <v>257</v>
      </c>
      <c r="W8" s="40">
        <f>1+T8</f>
        <v>5</v>
      </c>
      <c r="Z8" s="694" t="s">
        <v>420</v>
      </c>
      <c r="AM8" s="8"/>
      <c r="AN8" s="8"/>
      <c r="AO8" s="8"/>
    </row>
    <row r="9" spans="1:41" ht="18">
      <c r="A9" s="226"/>
      <c r="B9" s="279"/>
      <c r="C9" s="249" t="s">
        <v>69</v>
      </c>
      <c r="D9" s="250" t="s">
        <v>22</v>
      </c>
      <c r="E9" s="284">
        <f>INTERNAL!E9</f>
        <v>500</v>
      </c>
      <c r="F9" s="737" t="str">
        <f>IF(O41=0,"VALID DESIGN","FAILS on "&amp;P37&amp;P38&amp;P39&amp;P40)</f>
        <v>VALID DESIGN</v>
      </c>
      <c r="G9" s="737"/>
      <c r="H9" s="743"/>
      <c r="I9" s="255"/>
      <c r="J9" s="255"/>
      <c r="K9" s="255"/>
      <c r="L9" s="278"/>
      <c r="M9" s="260" t="s">
        <v>32</v>
      </c>
      <c r="N9" s="231"/>
      <c r="O9" s="78" t="s">
        <v>271</v>
      </c>
      <c r="P9" s="502">
        <f>CEILING(0.19*$G22,5)</f>
        <v>60</v>
      </c>
      <c r="Q9" s="115" t="s">
        <v>4</v>
      </c>
      <c r="R9" s="49" t="s">
        <v>116</v>
      </c>
      <c r="S9" s="124">
        <f>((T5^2+T6^2)/4+D34*(T5+T6)+2*D34^2)/(T5+2*D34)</f>
        <v>357.421875</v>
      </c>
      <c r="T9" s="51" t="s">
        <v>4</v>
      </c>
      <c r="U9" s="49" t="s">
        <v>116</v>
      </c>
      <c r="V9" s="124">
        <f>(T5+T6+4*D34-SQRT((T5+T6+4*D34)^2-4*((T5^2+T6^2)/4+D34*(T5+T6)+2*D34^2)))/2</f>
        <v>301.25139198390877</v>
      </c>
      <c r="W9" s="51" t="s">
        <v>4</v>
      </c>
      <c r="Z9" s="84">
        <f>4*G22</f>
        <v>1220</v>
      </c>
      <c r="AA9" s="81">
        <f>2*PI()*Z9+2*($E$12+$E$13)</f>
        <v>9915.4860747590956</v>
      </c>
      <c r="AB9" s="81">
        <f>PI()*Z9+$E$12+2*$E$13+2*E$15</f>
        <v>5182.7430373795478</v>
      </c>
      <c r="AC9" s="81">
        <f>PI()*Z9+$E$13+2*$E$12+2*E$14</f>
        <v>5857.7430373795478</v>
      </c>
      <c r="AD9" s="81">
        <f>PI()/2*Z9+SUM(E$12:E$15)</f>
        <v>3041.3715186897739</v>
      </c>
      <c r="AE9" s="159">
        <f>MIN(AA9:AD9)</f>
        <v>3041.3715186897739</v>
      </c>
      <c r="AF9" s="697">
        <f>AC25</f>
        <v>0</v>
      </c>
      <c r="AG9" s="82">
        <f>AE9-AF9</f>
        <v>3041.3715186897739</v>
      </c>
      <c r="AH9" s="136">
        <f>(E$17-E$18*AL9-E$19/1000*(SUM(E$12:E$15)+2*AI9))*G$17</f>
        <v>253.48180907567564</v>
      </c>
      <c r="AI9" s="84">
        <f>Z9-2*G$22</f>
        <v>610</v>
      </c>
      <c r="AJ9" s="159">
        <f>($E$12*$E$13+2*AI9*($E$12+$E$13)+PI()*AI9^2)/1000000</f>
        <v>2.7439866264007624</v>
      </c>
      <c r="AK9" s="370">
        <f>MIN($E$12*$E$13+AI9*($E$12+2*$E$13)+PI()*AI9^2/2+E$15*(E$12+2*AI9),$E$12*$E$13+AI9*($E$13+2*$E$12)+PI()*AI9^2/2+E$14*(E$13+2*AI9))/1000000</f>
        <v>1.6104933132003811</v>
      </c>
      <c r="AL9" s="85">
        <f>MIN(AJ9:AK9,((E$12+E$14)*(E$13+E$15)+PI()*AI9^2/4)/1000000)</f>
        <v>0.49474665660019052</v>
      </c>
      <c r="AM9" s="690">
        <f>(1000*AH9/AG9/G$22)/I$24</f>
        <v>0.39243428055828466</v>
      </c>
      <c r="AN9" s="8"/>
      <c r="AO9" s="8"/>
    </row>
    <row r="10" spans="1:41" ht="18">
      <c r="A10" s="226"/>
      <c r="B10" s="279"/>
      <c r="C10" s="484"/>
      <c r="D10" s="249" t="s">
        <v>260</v>
      </c>
      <c r="E10" s="251" t="str">
        <f>INTERNAL!E11</f>
        <v>A</v>
      </c>
      <c r="F10" s="262" t="str">
        <f>IF(N36=1,"Increase As?",IF(E8&gt;Refs!D12,"fck too high","."))</f>
        <v>.</v>
      </c>
      <c r="G10" s="262"/>
      <c r="H10" s="255"/>
      <c r="I10" s="255"/>
      <c r="J10" s="255"/>
      <c r="K10" s="255"/>
      <c r="L10" s="278"/>
      <c r="M10" s="233"/>
      <c r="N10" s="233"/>
      <c r="O10" s="114" t="s">
        <v>113</v>
      </c>
      <c r="P10" s="105">
        <f>MAX(0,(I25-0.75*I24)/1.5/R4*AG3)</f>
        <v>0</v>
      </c>
      <c r="Q10" s="115" t="s">
        <v>4</v>
      </c>
      <c r="R10" s="52" t="s">
        <v>152</v>
      </c>
      <c r="S10" s="54">
        <f>0.08*SQRT($E8)/$E9/1.5*S9</f>
        <v>0.21566756826189704</v>
      </c>
      <c r="T10" s="51" t="s">
        <v>4</v>
      </c>
      <c r="U10" s="52" t="s">
        <v>152</v>
      </c>
      <c r="V10" s="54">
        <f>0.08*SQRT($E8)/$E9/1.5*V9</f>
        <v>0.1817744231370314</v>
      </c>
      <c r="W10" s="132" t="s">
        <v>4</v>
      </c>
      <c r="Z10" s="89">
        <f>Z9*AM9</f>
        <v>478.76982228110728</v>
      </c>
      <c r="AA10" s="87">
        <f>2*PI()*Z10+2*($E$12+$E$13)</f>
        <v>5258.1995128776343</v>
      </c>
      <c r="AB10" s="87">
        <f>PI()*Z10+$E$12+2*$E$13+2*E$15</f>
        <v>2854.0997564388172</v>
      </c>
      <c r="AC10" s="87">
        <f>PI()*Z10+$E$13+2*$E$12+2*E$14</f>
        <v>3529.0997564388172</v>
      </c>
      <c r="AD10" s="87">
        <f>PI()/2*Z10+SUM(E$12:E$15)</f>
        <v>1877.0498782194086</v>
      </c>
      <c r="AE10" s="696">
        <f>MIN(AA10:AD10)</f>
        <v>1877.0498782194086</v>
      </c>
      <c r="AF10" s="696">
        <f>AF$9*Z10/Z$9</f>
        <v>0</v>
      </c>
      <c r="AG10" s="88">
        <f>AE10-AF10</f>
        <v>1877.0498782194086</v>
      </c>
      <c r="AH10" s="136">
        <f>(E$17-E$18*AL10-E$19/1000*(SUM(E$12:E$15)+2*AI10))*G$17</f>
        <v>280.43207676443745</v>
      </c>
      <c r="AI10" s="89">
        <f>Z10-2*G$22</f>
        <v>-131.23017771889272</v>
      </c>
      <c r="AJ10" s="696">
        <f>($E$12*$E$13+2*AI10*($E$12+$E$13)+PI()*AI10^2)/1000000</f>
        <v>-3.8665403238834536E-2</v>
      </c>
      <c r="AK10" s="363">
        <f>MIN($E$12*$E$13+AI10*($E$12+2*$E$13)+PI()*AI10^2/2+E$15*(E$12+2*AI10),$E$12*$E$13+AI10*($E$13+2*$E$12)+PI()*AI10^2/2+E$14*(E$13+2*AI10))/1000000</f>
        <v>-3.6189861566420713E-2</v>
      </c>
      <c r="AL10" s="90">
        <f>MIN(AJ10:AK10,((E$12+E$14)*(E$13+E$15)+PI()*AI10^2/4)/1000000)</f>
        <v>-3.8665403238834536E-2</v>
      </c>
      <c r="AM10" s="692">
        <f>(1000*AH10/AG10/G$22)/I$24</f>
        <v>0.70346337166375594</v>
      </c>
      <c r="AN10" s="8"/>
      <c r="AO10" s="8"/>
    </row>
    <row r="11" spans="1:41" ht="15.75">
      <c r="A11" s="226"/>
      <c r="B11" s="279"/>
      <c r="C11" s="255"/>
      <c r="D11" s="255"/>
      <c r="E11" s="280"/>
      <c r="F11" s="255"/>
      <c r="G11" s="255"/>
      <c r="H11" s="255"/>
      <c r="I11" s="255"/>
      <c r="J11" s="255"/>
      <c r="K11" s="255"/>
      <c r="L11" s="278"/>
      <c r="M11" s="233"/>
      <c r="N11" s="233"/>
      <c r="O11" s="114" t="s">
        <v>153</v>
      </c>
      <c r="P11" s="101">
        <f>MAX(3,CEILING((E13+P9+MIN(P9,E15-40))/1.5/G22+1,1))</f>
        <v>3</v>
      </c>
      <c r="Q11" s="115" t="s">
        <v>2</v>
      </c>
      <c r="R11" s="114" t="s">
        <v>280</v>
      </c>
      <c r="S11" s="101">
        <f>VLOOKUP(S13/T8*$G22/2,$AJ15:$AK21,2)</f>
        <v>8</v>
      </c>
      <c r="T11" s="115" t="s">
        <v>4</v>
      </c>
      <c r="U11" s="114" t="s">
        <v>280</v>
      </c>
      <c r="V11" s="101">
        <f>VLOOKUP(V13/W8*$G22/2,$AJ15:$AK21,2)</f>
        <v>8</v>
      </c>
      <c r="W11" s="115" t="s">
        <v>4</v>
      </c>
      <c r="Z11" s="89">
        <f>Z10*AM10</f>
        <v>336.79703343272496</v>
      </c>
      <c r="AA11" s="87">
        <f>2*PI()*Z11+2*($E$12+$E$13)</f>
        <v>4366.1581719661699</v>
      </c>
      <c r="AB11" s="87">
        <f>PI()*Z11+$E$12+2*$E$13+2*E$15</f>
        <v>2408.079085983085</v>
      </c>
      <c r="AC11" s="87">
        <f>PI()*Z11+$E$13+2*$E$12+2*E$14</f>
        <v>3083.079085983085</v>
      </c>
      <c r="AD11" s="87">
        <f>PI()/2*Z11+SUM(E$12:E$15)</f>
        <v>1654.0395429915425</v>
      </c>
      <c r="AE11" s="696">
        <f>MIN(AA11:AD11)</f>
        <v>1654.0395429915425</v>
      </c>
      <c r="AF11" s="696">
        <f>AF$9*Z11/Z$9</f>
        <v>0</v>
      </c>
      <c r="AG11" s="88">
        <f>AE11-AF11</f>
        <v>1654.0395429915425</v>
      </c>
      <c r="AH11" s="136">
        <f>(E$17-E$18*AL11-E$19/1000*(SUM(E$12:E$15)+2*AI11))*G$17</f>
        <v>289.2877899341841</v>
      </c>
      <c r="AI11" s="89">
        <f>Z11-2*G$22</f>
        <v>-273.20296656727504</v>
      </c>
      <c r="AJ11" s="696">
        <f>($E$12*$E$13+2*AI11*($E$12+$E$13)+PI()*AI11^2)/1000000</f>
        <v>-0.17771863597865817</v>
      </c>
      <c r="AK11" s="363">
        <f>MIN($E$12*$E$13+AI11*($E$12+2*$E$13)+PI()*AI11^2/2+E$15*(E$12+2*AI11),$E$12*$E$13+AI11*($E$13+2*$E$12)+PI()*AI11^2/2+E$14*(E$13+2*AI11))/1000000</f>
        <v>-0.23349198789987657</v>
      </c>
      <c r="AL11" s="90">
        <f>MIN(AJ11:AK11,((E$12+E$14)*(E$13+E$15)+PI()*AI11^2/4)/1000000)</f>
        <v>-0.23349198789987657</v>
      </c>
      <c r="AM11" s="692">
        <f>(1000*AH11/AG11/G$22)/I$24</f>
        <v>0.8235193911871993</v>
      </c>
      <c r="AN11" s="8"/>
      <c r="AO11" s="8"/>
    </row>
    <row r="12" spans="1:41" ht="18">
      <c r="A12" s="226"/>
      <c r="B12" s="276" t="s">
        <v>24</v>
      </c>
      <c r="C12" s="249" t="s">
        <v>5</v>
      </c>
      <c r="D12" s="250" t="s">
        <v>4</v>
      </c>
      <c r="E12" s="251">
        <v>900</v>
      </c>
      <c r="F12" s="249" t="s">
        <v>7</v>
      </c>
      <c r="G12" s="250" t="s">
        <v>4</v>
      </c>
      <c r="H12" s="251">
        <v>0</v>
      </c>
      <c r="I12" s="255"/>
      <c r="J12" s="255"/>
      <c r="K12" s="255"/>
      <c r="L12" s="278"/>
      <c r="M12" s="233"/>
      <c r="N12" s="233"/>
      <c r="O12" s="114" t="s">
        <v>154</v>
      </c>
      <c r="P12" s="101">
        <f>MAX(3,CEILING((E12+P9+MIN(P9,E14-40))/1.5/G22+1,1))</f>
        <v>4</v>
      </c>
      <c r="Q12" s="115" t="s">
        <v>2</v>
      </c>
      <c r="R12" s="52" t="s">
        <v>97</v>
      </c>
      <c r="S12" s="53">
        <f>IF(INTERNAL!AI9=INTERNAL!AI1,S11,INTERNAL!AI10)</f>
        <v>8</v>
      </c>
      <c r="T12" s="51" t="s">
        <v>4</v>
      </c>
      <c r="U12" s="52" t="s">
        <v>97</v>
      </c>
      <c r="V12" s="53">
        <f>IF(INTERNAL!AI9=INTERNAL!AI1,V11,INTERNAL!AI10)</f>
        <v>8</v>
      </c>
      <c r="W12" s="51" t="s">
        <v>4</v>
      </c>
      <c r="Z12" s="89">
        <f>Z11*AM11</f>
        <v>277.35888792617249</v>
      </c>
      <c r="AA12" s="87">
        <f>2*PI()*Z12+2*($E$12+$E$13)</f>
        <v>3992.6972894333967</v>
      </c>
      <c r="AB12" s="87">
        <f>PI()*Z12+$E$12+2*$E$13+2*E$15</f>
        <v>2221.3486447166983</v>
      </c>
      <c r="AC12" s="87">
        <f>PI()*Z12+$E$13+2*$E$12+2*E$14</f>
        <v>2896.3486447166983</v>
      </c>
      <c r="AD12" s="87">
        <f>PI()/2*Z12+SUM(E$12:E$15)</f>
        <v>1560.6743223583492</v>
      </c>
      <c r="AE12" s="696">
        <f>MIN(AA12:AD12)</f>
        <v>1560.6743223583492</v>
      </c>
      <c r="AF12" s="696">
        <f>AF$9*Z12/Z$9</f>
        <v>0</v>
      </c>
      <c r="AG12" s="88">
        <f>AE12-AF12</f>
        <v>1560.6743223583492</v>
      </c>
      <c r="AH12" s="136">
        <f>(E$17-E$18*AL12-E$19/1000*(SUM(E$12:E$15)+2*AI12))*G$17</f>
        <v>292.28699213563777</v>
      </c>
      <c r="AI12" s="89">
        <f>Z12-2*G$22</f>
        <v>-332.64111207382751</v>
      </c>
      <c r="AJ12" s="696">
        <f>($E$12*$E$13+2*AI12*($E$12+$E$13)+PI()*AI12^2)/1000000</f>
        <v>-0.19832493122512079</v>
      </c>
      <c r="AK12" s="363">
        <f>MIN($E$12*$E$13+AI12*($E$12+2*$E$13)+PI()*AI12^2/2+E$15*(E$12+2*AI12),$E$12*$E$13+AI12*($E$13+2*$E$12)+PI()*AI12^2/2+E$14*(E$13+2*AI12))/1000000</f>
        <v>-0.29728946647900517</v>
      </c>
      <c r="AL12" s="90">
        <f>MIN(AJ12:AK12,((E$12+E$14)*(E$13+E$15)+PI()*AI12^2/4)/1000000)</f>
        <v>-0.29728946647900517</v>
      </c>
      <c r="AM12" s="692">
        <f>(1000*AH12/AG12/G$22)/I$24</f>
        <v>0.88183395484454086</v>
      </c>
      <c r="AN12" s="8"/>
      <c r="AO12" s="8"/>
    </row>
    <row r="13" spans="1:41" ht="18">
      <c r="A13" s="226"/>
      <c r="B13" s="279"/>
      <c r="C13" s="249" t="s">
        <v>6</v>
      </c>
      <c r="D13" s="250" t="s">
        <v>4</v>
      </c>
      <c r="E13" s="251">
        <v>225</v>
      </c>
      <c r="F13" s="249" t="s">
        <v>8</v>
      </c>
      <c r="G13" s="250" t="s">
        <v>4</v>
      </c>
      <c r="H13" s="251">
        <v>0</v>
      </c>
      <c r="I13" s="255"/>
      <c r="J13" s="255"/>
      <c r="K13" s="255"/>
      <c r="L13" s="278"/>
      <c r="M13" s="258" t="str">
        <f>IF(E8&gt;Refs!L12,Refs!G12,"√")</f>
        <v>√</v>
      </c>
      <c r="N13" s="234"/>
      <c r="O13" s="114" t="s">
        <v>280</v>
      </c>
      <c r="P13" s="101">
        <f>VLOOKUP(MAX(P10,P15)/(P11+P12)*$G22/2,$AJ15:$AK21,2)</f>
        <v>8</v>
      </c>
      <c r="Q13" s="115" t="s">
        <v>4</v>
      </c>
      <c r="R13" s="52" t="s">
        <v>113</v>
      </c>
      <c r="S13" s="105">
        <f>MAX(S10,($I25-0.75*$I24)/1.5/$R4*$AG3)</f>
        <v>0.21566756826189704</v>
      </c>
      <c r="T13" s="51" t="s">
        <v>4</v>
      </c>
      <c r="U13" s="52" t="s">
        <v>113</v>
      </c>
      <c r="V13" s="54">
        <f>MAX(V10,($I25-0.75*$I24)/1.5/$R4*$AG3)</f>
        <v>0.1817744231370314</v>
      </c>
      <c r="W13" s="51" t="s">
        <v>4</v>
      </c>
      <c r="Z13" s="695">
        <f>Z12*AM12</f>
        <v>244.58448505122047</v>
      </c>
      <c r="AA13" s="93">
        <f>2*PI()*Z13+2*($E$12+$E$13)</f>
        <v>3786.7696428379136</v>
      </c>
      <c r="AB13" s="93">
        <f>PI()*Z13+$E$12+2*$E$13+2*E$15</f>
        <v>2118.3848214189566</v>
      </c>
      <c r="AC13" s="93">
        <f>PI()*Z13+$E$13+2*$E$12+2*E$14</f>
        <v>2793.3848214189566</v>
      </c>
      <c r="AD13" s="93">
        <f>PI()/2*Z13+SUM(E$12:E$15)</f>
        <v>1509.1924107094783</v>
      </c>
      <c r="AE13" s="160">
        <f>MIN(AA13:AD13)</f>
        <v>1509.1924107094783</v>
      </c>
      <c r="AF13" s="160">
        <f>AF$9*Z13/Z$9</f>
        <v>0</v>
      </c>
      <c r="AG13" s="94">
        <f>AE13-AF13</f>
        <v>1509.1924107094783</v>
      </c>
      <c r="AH13" s="136">
        <f>(E$17-E$18*AL13-E$19/1000*(SUM(E$12:E$15)+2*AI13))*G$17</f>
        <v>293.75151702069047</v>
      </c>
      <c r="AI13" s="95">
        <f>Z13-2*G$22</f>
        <v>-365.41551494877956</v>
      </c>
      <c r="AJ13" s="160">
        <f>($E$12*$E$13+2*AI13*($E$12+$E$13)+PI()*AI13^2)/1000000</f>
        <v>-0.20019275849718968</v>
      </c>
      <c r="AK13" s="371">
        <f>MIN($E$12*$E$13+AI13*($E$12+2*$E$13)+PI()*AI13^2/2+E$15*(E$12+2*AI13),$E$12*$E$13+AI13*($E$13+2*$E$12)+PI()*AI13^2/2+E$14*(E$13+2*AI13))/1000000</f>
        <v>-0.32772034270249645</v>
      </c>
      <c r="AL13" s="96">
        <f>MIN(AJ13:AK13,((E$12+E$14)*(E$13+E$15)+PI()*AI13^2/4)/1000000)</f>
        <v>-0.32772034270249645</v>
      </c>
      <c r="AM13" s="693">
        <f>(1000*AH13/AG13/G$22)/I$24</f>
        <v>0.91648449017421885</v>
      </c>
      <c r="AN13" s="8"/>
      <c r="AO13" s="8"/>
    </row>
    <row r="14" spans="1:41" ht="18">
      <c r="A14" s="226"/>
      <c r="B14" s="279"/>
      <c r="C14" s="249" t="s">
        <v>57</v>
      </c>
      <c r="D14" s="250" t="s">
        <v>4</v>
      </c>
      <c r="E14" s="251">
        <v>0</v>
      </c>
      <c r="F14" s="249" t="s">
        <v>49</v>
      </c>
      <c r="G14" s="250" t="s">
        <v>4</v>
      </c>
      <c r="H14" s="251">
        <v>0</v>
      </c>
      <c r="I14" s="255"/>
      <c r="J14" s="255"/>
      <c r="K14" s="255"/>
      <c r="L14" s="278"/>
      <c r="M14" s="612"/>
      <c r="N14" s="234"/>
      <c r="O14" s="114" t="s">
        <v>97</v>
      </c>
      <c r="P14" s="101">
        <f>IF(INTERNAL!AI9=INTERNAL!AI1,P13,INTERNAL!AI10)</f>
        <v>8</v>
      </c>
      <c r="Q14" s="115" t="s">
        <v>4</v>
      </c>
      <c r="R14" s="52" t="s">
        <v>111</v>
      </c>
      <c r="S14" s="104">
        <f>FLOOR(MIN(PI()/4*S12^2*T8/S13,0.75*$G22),5)</f>
        <v>225</v>
      </c>
      <c r="T14" s="51" t="s">
        <v>4</v>
      </c>
      <c r="U14" s="52" t="s">
        <v>111</v>
      </c>
      <c r="V14" s="50">
        <f>FLOOR(MIN(PI()/4*V12^2*W8/V13,0.75*$G22),5)</f>
        <v>225</v>
      </c>
      <c r="W14" s="51" t="s">
        <v>4</v>
      </c>
      <c r="AB14" s="8" t="s">
        <v>52</v>
      </c>
      <c r="AC14" s="8" t="s">
        <v>54</v>
      </c>
      <c r="AF14" s="8"/>
      <c r="AG14" s="14"/>
      <c r="AH14" s="29"/>
      <c r="AI14" s="19"/>
      <c r="AL14" s="8"/>
      <c r="AM14" s="8"/>
      <c r="AN14" s="8"/>
      <c r="AO14" s="8"/>
    </row>
    <row r="15" spans="1:41" ht="19.5">
      <c r="A15" s="226"/>
      <c r="B15" s="279"/>
      <c r="C15" s="249" t="s">
        <v>56</v>
      </c>
      <c r="D15" s="250" t="s">
        <v>4</v>
      </c>
      <c r="E15" s="251">
        <v>0</v>
      </c>
      <c r="F15" s="249" t="s">
        <v>50</v>
      </c>
      <c r="G15" s="250" t="s">
        <v>4</v>
      </c>
      <c r="H15" s="251">
        <v>0</v>
      </c>
      <c r="I15" s="255"/>
      <c r="J15" s="255"/>
      <c r="K15" s="255"/>
      <c r="L15" s="278"/>
      <c r="M15" s="258" t="str">
        <f>IF(MAX(H12-E12/2,H13-E13/2)&gt;6*G22,"Hole not relevant - remove it.","√")</f>
        <v>√</v>
      </c>
      <c r="N15" s="234"/>
      <c r="O15" s="114" t="s">
        <v>152</v>
      </c>
      <c r="P15" s="105">
        <f>0.08*SQRT(E8)/E9/1.5*(P21+P22)/2</f>
        <v>0.12912712633507942</v>
      </c>
      <c r="Q15" s="115" t="s">
        <v>4</v>
      </c>
      <c r="R15" s="52" t="s">
        <v>112</v>
      </c>
      <c r="S15" s="105">
        <f>PI()/4*S12^2*T8/S14</f>
        <v>0.89360857702109675</v>
      </c>
      <c r="T15" s="51" t="s">
        <v>4</v>
      </c>
      <c r="U15" s="52" t="s">
        <v>112</v>
      </c>
      <c r="V15" s="54">
        <f>PI()/4*V12^2*W8/V14</f>
        <v>1.1170107212763709</v>
      </c>
      <c r="W15" s="51" t="s">
        <v>4</v>
      </c>
      <c r="Y15" s="462" t="s">
        <v>3</v>
      </c>
      <c r="Z15" s="242" t="s">
        <v>239</v>
      </c>
      <c r="AA15" s="14" t="s">
        <v>51</v>
      </c>
      <c r="AB15" s="30" t="str">
        <f>IF(AND(OR(H12=E12/2,H12+H15=-E12/2),H13&lt;E13/2,H13+H14&gt;-E13/2),"Y","N")</f>
        <v>N</v>
      </c>
      <c r="AC15" s="31">
        <f>IF(AB15="Y",MIN(H14,E13/2+IF(H13&lt;0,H14+H13,-H13)),0)</f>
        <v>0</v>
      </c>
      <c r="AJ15" s="41">
        <v>0</v>
      </c>
      <c r="AK15" s="42">
        <v>8</v>
      </c>
      <c r="AL15" s="8"/>
      <c r="AM15" s="8"/>
      <c r="AN15" s="8"/>
      <c r="AO15" s="8"/>
    </row>
    <row r="16" spans="1:41">
      <c r="A16" s="226"/>
      <c r="B16" s="279"/>
      <c r="C16" s="249"/>
      <c r="D16" s="250"/>
      <c r="E16" s="251"/>
      <c r="F16" s="249"/>
      <c r="G16" s="250"/>
      <c r="H16" s="251"/>
      <c r="I16" s="255"/>
      <c r="J16" s="255"/>
      <c r="K16" s="255"/>
      <c r="L16" s="278"/>
      <c r="M16" s="235"/>
      <c r="N16" s="235"/>
      <c r="O16" s="83"/>
      <c r="P16" s="83"/>
      <c r="Q16" s="83"/>
      <c r="R16" s="125" t="s">
        <v>158</v>
      </c>
      <c r="S16" s="130">
        <f>IF(SQRT($E12*$E13/PI())+$D34+S31&gt;$T2+$G22,S31,S32)</f>
        <v>-63.779166128519137</v>
      </c>
      <c r="T16" s="214" t="s">
        <v>4</v>
      </c>
      <c r="U16" s="215" t="s">
        <v>158</v>
      </c>
      <c r="V16" s="130">
        <f>IF(SQRT($E12*$E13/PI())+$D34+V31&gt;$T2+$G22,V31,V32)</f>
        <v>-69.027815141599376</v>
      </c>
      <c r="W16" s="48" t="s">
        <v>4</v>
      </c>
      <c r="Y16" s="97">
        <v>1</v>
      </c>
      <c r="Z16" s="369">
        <f>1000*(E$17-E$18*AL3)*G$17/AG3/G$22</f>
        <v>0.43144307772365736</v>
      </c>
      <c r="AA16" s="14" t="s">
        <v>53</v>
      </c>
      <c r="AB16" s="32" t="str">
        <f>IF(AND(OR(H13=E13/2,H13+H14=-E13/2),H12&lt;E12/2,H12+H15&gt;-E12/2),"Y","N")</f>
        <v>N</v>
      </c>
      <c r="AC16" s="28">
        <f>IF(AB16="Y",MIN(H15,E12/2+IF(H12&lt;0,H15+H12,-H15)),0)</f>
        <v>0</v>
      </c>
      <c r="AG16" s="8"/>
      <c r="AJ16" s="43">
        <f>PI()/4*6^2</f>
        <v>28.274333882308138</v>
      </c>
      <c r="AK16" s="44">
        <v>8</v>
      </c>
      <c r="AL16" s="8"/>
      <c r="AM16" s="8"/>
      <c r="AN16" s="8"/>
      <c r="AO16" s="8"/>
    </row>
    <row r="17" spans="1:41" ht="19.5">
      <c r="A17" s="226"/>
      <c r="B17" s="276" t="s">
        <v>30</v>
      </c>
      <c r="C17" s="249" t="s">
        <v>74</v>
      </c>
      <c r="D17" s="250" t="s">
        <v>12</v>
      </c>
      <c r="E17" s="252">
        <v>206</v>
      </c>
      <c r="F17" s="689" t="s">
        <v>304</v>
      </c>
      <c r="G17" s="548">
        <f>IF(P3=P2,H41,1.5)</f>
        <v>1.3698989068210419</v>
      </c>
      <c r="H17" s="250"/>
      <c r="I17" s="253"/>
      <c r="J17" s="350"/>
      <c r="K17" s="351"/>
      <c r="L17" s="278"/>
      <c r="M17" s="259"/>
      <c r="N17" s="353"/>
      <c r="O17" s="114" t="s">
        <v>111</v>
      </c>
      <c r="P17" s="101">
        <f>FLOOR(MIN(PI()/4*P14^2*(P18+P19)/MAX(P15,P10),0.75*$G22),5)</f>
        <v>225</v>
      </c>
      <c r="Q17" s="115" t="s">
        <v>4</v>
      </c>
      <c r="R17" s="125" t="s">
        <v>157</v>
      </c>
      <c r="S17" s="131">
        <f>S14*IF(S16-1.5*G22/SIN(3*PI()/8)&lt;0,0,CEILING((S16-1.5*G22/SIN(3*PI()/8))/S14,1))</f>
        <v>0</v>
      </c>
      <c r="T17" s="48" t="s">
        <v>4</v>
      </c>
      <c r="U17" s="125" t="s">
        <v>157</v>
      </c>
      <c r="V17" s="127">
        <f>V14*IF(V16-1.5*G22/SIN(5*PI()/12)&lt;0,0,CEILING((V16-1.5*G22/SIN(5*PI()/12))/V14,1))</f>
        <v>0</v>
      </c>
      <c r="W17" s="48" t="s">
        <v>4</v>
      </c>
      <c r="Y17" s="83"/>
      <c r="Z17" s="83"/>
      <c r="AG17" s="8"/>
      <c r="AJ17" s="43">
        <f>PI()/4*AK16^2</f>
        <v>50.26548245743669</v>
      </c>
      <c r="AK17" s="44">
        <v>10</v>
      </c>
      <c r="AL17" s="8"/>
      <c r="AM17" s="8"/>
      <c r="AN17" s="8"/>
      <c r="AO17" s="8"/>
    </row>
    <row r="18" spans="1:41" ht="18">
      <c r="A18" s="226"/>
      <c r="B18" s="279"/>
      <c r="C18" s="249" t="s">
        <v>11</v>
      </c>
      <c r="D18" s="250" t="s">
        <v>26</v>
      </c>
      <c r="E18" s="254">
        <f>INTERNAL!E17</f>
        <v>29.1</v>
      </c>
      <c r="F18" s="544" t="str">
        <f>IF(O3=O2,I41,"braced structure, adjacent spans differ no more than 25%")</f>
        <v>to expression (6.46)</v>
      </c>
      <c r="G18" s="255"/>
      <c r="H18" s="255"/>
      <c r="I18" s="728" t="str">
        <f>IF(MAX(E12/E13,E13/E12)&gt;4,"This is a wall",".")</f>
        <v>.</v>
      </c>
      <c r="J18" s="728"/>
      <c r="K18" s="728"/>
      <c r="L18" s="729"/>
      <c r="M18" s="233"/>
      <c r="N18" s="233"/>
      <c r="O18" s="114" t="s">
        <v>98</v>
      </c>
      <c r="P18" s="101">
        <f>P11</f>
        <v>3</v>
      </c>
      <c r="Q18" s="115" t="s">
        <v>2</v>
      </c>
      <c r="R18" s="125" t="s">
        <v>159</v>
      </c>
      <c r="S18" s="126">
        <f>1.5*G22/SIN(3*PI()/8)+S17</f>
        <v>495.19443163377025</v>
      </c>
      <c r="T18" s="48" t="s">
        <v>4</v>
      </c>
      <c r="U18" s="125" t="s">
        <v>159</v>
      </c>
      <c r="V18" s="126">
        <f>1.5*G22/SIN(5*PI()/12)+V17</f>
        <v>473.63885253761299</v>
      </c>
      <c r="W18" s="48" t="s">
        <v>4</v>
      </c>
      <c r="Y18" s="460" t="s">
        <v>204</v>
      </c>
      <c r="Z18" s="77"/>
      <c r="AA18" s="2"/>
      <c r="AB18" s="3"/>
      <c r="AC18" s="3"/>
      <c r="AG18" s="8"/>
      <c r="AJ18" s="43">
        <f>PI()/4*AK17^2</f>
        <v>78.539816339744831</v>
      </c>
      <c r="AK18" s="44">
        <v>12</v>
      </c>
      <c r="AL18" s="8"/>
      <c r="AM18" s="8"/>
      <c r="AN18" s="8"/>
      <c r="AO18" s="8"/>
    </row>
    <row r="19" spans="1:41" ht="18">
      <c r="A19" s="226"/>
      <c r="B19" s="282"/>
      <c r="C19" s="249" t="s">
        <v>415</v>
      </c>
      <c r="D19" s="250" t="s">
        <v>414</v>
      </c>
      <c r="E19" s="254">
        <f>EDGE!E19</f>
        <v>2.8</v>
      </c>
      <c r="F19" s="255"/>
      <c r="G19" s="255"/>
      <c r="H19" s="255"/>
      <c r="I19" s="255"/>
      <c r="J19" s="255"/>
      <c r="K19" s="255"/>
      <c r="L19" s="278"/>
      <c r="M19" s="258" t="str">
        <f>IF(AA3&lt;AD3,"Treat as internal column with calculated ß",IF(MIN(AB3:AC3)&lt;AD3,"Treat as edge column with calculated ß","√"))</f>
        <v>√</v>
      </c>
      <c r="N19" s="236"/>
      <c r="O19" s="114" t="s">
        <v>99</v>
      </c>
      <c r="P19" s="101">
        <f>P12</f>
        <v>4</v>
      </c>
      <c r="Q19" s="115" t="s">
        <v>2</v>
      </c>
      <c r="R19" s="47" t="s">
        <v>114</v>
      </c>
      <c r="S19" s="128">
        <f>SQRT(S9^2+S9*S17*SQRT(2)+S17^2*(2-SQRT(2)))</f>
        <v>357.421875</v>
      </c>
      <c r="T19" s="48" t="s">
        <v>4</v>
      </c>
      <c r="U19" s="47" t="s">
        <v>114</v>
      </c>
      <c r="V19" s="128">
        <f>SQRT((V9+V17/2)^2+(V17-V17*COS(PI()/6))^2)</f>
        <v>301.25139198390877</v>
      </c>
      <c r="W19" s="48" t="s">
        <v>4</v>
      </c>
      <c r="Y19" s="77"/>
      <c r="Z19" s="97" t="s">
        <v>181</v>
      </c>
      <c r="AA19" s="154" t="s">
        <v>182</v>
      </c>
      <c r="AB19" s="154" t="s">
        <v>183</v>
      </c>
      <c r="AC19" s="155" t="s">
        <v>184</v>
      </c>
      <c r="AD19" s="175" t="s">
        <v>203</v>
      </c>
      <c r="AE19" s="3" t="str">
        <f>IF(IF(AD20=0,10000000000,ABS(AD21/AD20))&lt;=1,"EW","NS")</f>
        <v>NS</v>
      </c>
      <c r="AJ19" s="43">
        <f>PI()/4*AK18^2</f>
        <v>113.09733552923255</v>
      </c>
      <c r="AK19" s="44">
        <v>16</v>
      </c>
      <c r="AL19" s="8"/>
      <c r="AM19" s="8"/>
      <c r="AN19" s="8"/>
      <c r="AO19" s="8"/>
    </row>
    <row r="20" spans="1:41" ht="19.5">
      <c r="A20" s="226"/>
      <c r="B20" s="276" t="s">
        <v>25</v>
      </c>
      <c r="C20" s="16"/>
      <c r="D20" s="16"/>
      <c r="E20" s="249" t="s">
        <v>356</v>
      </c>
      <c r="F20" s="250" t="s">
        <v>4</v>
      </c>
      <c r="G20" s="251">
        <f>D21-25-10</f>
        <v>315</v>
      </c>
      <c r="H20" s="249" t="s">
        <v>357</v>
      </c>
      <c r="I20" s="250" t="s">
        <v>29</v>
      </c>
      <c r="J20" s="283">
        <v>3140</v>
      </c>
      <c r="K20" s="492" t="s">
        <v>81</v>
      </c>
      <c r="L20" s="497" t="str">
        <f>"ρx = "&amp;FIXED(J20/G20/10,3)</f>
        <v>ρx = 0.997</v>
      </c>
      <c r="M20" s="236"/>
      <c r="N20" s="499"/>
      <c r="O20" s="114" t="s">
        <v>112</v>
      </c>
      <c r="P20" s="105">
        <f>PI()/4*P14^2*(P18+P19)/P17</f>
        <v>1.5638150097869192</v>
      </c>
      <c r="Q20" s="115" t="s">
        <v>4</v>
      </c>
      <c r="R20" s="47" t="s">
        <v>115</v>
      </c>
      <c r="S20" s="106" t="str">
        <f>IF(S19&gt;2*$G22,"INVALID", "VALID")</f>
        <v>VALID</v>
      </c>
      <c r="U20" s="47" t="s">
        <v>115</v>
      </c>
      <c r="V20" s="63" t="str">
        <f>IF(V19&gt;2*$G22,"INVALID", "VALID")</f>
        <v>VALID</v>
      </c>
      <c r="W20" s="61"/>
      <c r="Y20" s="1" t="s">
        <v>185</v>
      </c>
      <c r="Z20" s="71">
        <f>IF(H12-AE20=0,0.0000000001,H12-AE20)</f>
        <v>1E-10</v>
      </c>
      <c r="AA20" s="67">
        <f>IF(H12+H15+AE20=0,0.0000000001,H12+H15+AE20)</f>
        <v>1E-10</v>
      </c>
      <c r="AB20" s="67">
        <f>Z20</f>
        <v>1E-10</v>
      </c>
      <c r="AC20" s="68">
        <f>AA20</f>
        <v>1E-10</v>
      </c>
      <c r="AD20" s="176">
        <f>H12+H15/2</f>
        <v>0</v>
      </c>
      <c r="AE20" s="3">
        <f>IF(AND(AE19="NS",H14&gt;H15),(SQRT(H15*H14)-MIN(H15,H14))/2,0)</f>
        <v>0</v>
      </c>
      <c r="AJ20" s="43">
        <f>PI()/4*AK19^2</f>
        <v>201.06192982974676</v>
      </c>
      <c r="AK20" s="44">
        <v>20</v>
      </c>
      <c r="AL20" s="8"/>
      <c r="AM20" s="8"/>
      <c r="AN20" s="8"/>
      <c r="AO20" s="8"/>
    </row>
    <row r="21" spans="1:41" ht="18">
      <c r="A21" s="226"/>
      <c r="B21" s="493" t="s">
        <v>10</v>
      </c>
      <c r="C21" s="250" t="s">
        <v>4</v>
      </c>
      <c r="D21" s="251">
        <f>INTERNAL!D21</f>
        <v>350</v>
      </c>
      <c r="E21" s="249" t="s">
        <v>27</v>
      </c>
      <c r="F21" s="250" t="s">
        <v>4</v>
      </c>
      <c r="G21" s="251">
        <f>G20-20</f>
        <v>295</v>
      </c>
      <c r="H21" s="249" t="s">
        <v>28</v>
      </c>
      <c r="I21" s="250" t="s">
        <v>29</v>
      </c>
      <c r="J21" s="283">
        <v>3140</v>
      </c>
      <c r="K21" s="492" t="s">
        <v>82</v>
      </c>
      <c r="L21" s="497" t="str">
        <f>"ρy = "&amp;FIXED(J21/G21/10,3)</f>
        <v>ρy = 1.064</v>
      </c>
      <c r="M21" s="258"/>
      <c r="N21" s="236"/>
      <c r="O21" s="113" t="s">
        <v>92</v>
      </c>
      <c r="P21" s="101">
        <f>FLOOR((E13+P9+MIN(P9,E15-40))/(P18-1),1)</f>
        <v>122</v>
      </c>
      <c r="Q21" s="115" t="s">
        <v>4</v>
      </c>
      <c r="R21" s="36" t="s">
        <v>160</v>
      </c>
      <c r="S21" s="59">
        <f>G22*(3*TAN(PI()/8)+2)</f>
        <v>989.00540957138196</v>
      </c>
      <c r="T21" s="60" t="s">
        <v>4</v>
      </c>
      <c r="U21" s="36" t="s">
        <v>160</v>
      </c>
      <c r="V21" s="59">
        <f>G22*(3*TAN(PI()/12)+2)</f>
        <v>855.17351107447723</v>
      </c>
      <c r="W21" s="60" t="s">
        <v>4</v>
      </c>
      <c r="Y21" s="1" t="s">
        <v>186</v>
      </c>
      <c r="Z21" s="72">
        <f>IF(H13-AE21=0,0.0000000001,H13-AE21)</f>
        <v>1E-10</v>
      </c>
      <c r="AA21" s="69">
        <f>Z21</f>
        <v>1E-10</v>
      </c>
      <c r="AB21" s="69">
        <f>IF(H13+H14+AE21=0,0.0000000001,H13+H14+AE21)</f>
        <v>1E-10</v>
      </c>
      <c r="AC21" s="70">
        <f>AB21</f>
        <v>1E-10</v>
      </c>
      <c r="AD21" s="178">
        <f>H13+H14/2</f>
        <v>0</v>
      </c>
      <c r="AE21" s="3">
        <f>IF(AND(AE19="EW",H15&gt;H14),(SQRT(H15*H14)-MIN(H15,H14))/2,0)</f>
        <v>0</v>
      </c>
      <c r="AJ21" s="45">
        <f>PI()/4*AK20^2</f>
        <v>314.15926535897933</v>
      </c>
      <c r="AK21" s="46">
        <v>25</v>
      </c>
      <c r="AL21" s="8"/>
      <c r="AM21" s="8"/>
      <c r="AN21" s="8"/>
      <c r="AO21" s="8"/>
    </row>
    <row r="22" spans="1:41" ht="16.5" customHeight="1">
      <c r="A22" s="226"/>
      <c r="B22" s="279"/>
      <c r="C22" s="257"/>
      <c r="D22" s="257"/>
      <c r="E22" s="249" t="s">
        <v>90</v>
      </c>
      <c r="F22" s="250" t="s">
        <v>4</v>
      </c>
      <c r="G22" s="284">
        <f>(G20+G21)/2</f>
        <v>305</v>
      </c>
      <c r="H22" s="249"/>
      <c r="I22" s="16"/>
      <c r="J22" s="16"/>
      <c r="K22" s="249" t="s">
        <v>265</v>
      </c>
      <c r="L22" s="702">
        <f>MAX(IF(γRC&lt;22,0.5,0),MIN(2,SQRT(J20/G20*J21/G21)/10))</f>
        <v>1.0300619935320572</v>
      </c>
      <c r="M22" s="730" t="str">
        <f>IF(MAX(E12:E13)&gt;4*G20,"Column size &gt; 4d. For a conservative solution, consider reducing to 4d, using CALCULATE ß option and adding side spurs as required","√")</f>
        <v>√</v>
      </c>
      <c r="N22" s="740" t="e">
        <f>IF(MAX(F9:F10)&gt;4*H20,"Column size &gt; 4d. For a conservative solution, consider reducing to 4d, using CALCULATE ß option and adding side spurs as required","√")</f>
        <v>#VALUE!</v>
      </c>
      <c r="O22" s="113" t="s">
        <v>93</v>
      </c>
      <c r="P22" s="101">
        <f>FLOOR((E12+P9+MIN(P9,E14-40))/(P19-1),1)</f>
        <v>306</v>
      </c>
      <c r="Q22" s="115" t="s">
        <v>4</v>
      </c>
      <c r="R22" s="36" t="s">
        <v>158</v>
      </c>
      <c r="S22" s="62">
        <f>SQRT(2)*(S21*COS(PI()/8)-S9)</f>
        <v>786.72697709453894</v>
      </c>
      <c r="T22" s="60" t="s">
        <v>4</v>
      </c>
      <c r="U22" s="36" t="s">
        <v>158</v>
      </c>
      <c r="V22" s="62">
        <f>2*(V21*COS(PI()/12)-V9)</f>
        <v>1049.5655766424586</v>
      </c>
      <c r="W22" s="60" t="s">
        <v>4</v>
      </c>
      <c r="Y22" s="1" t="s">
        <v>187</v>
      </c>
      <c r="Z22" s="156">
        <f>MIN(IF(Z20=0,1000000000*SIGN(Z21),Z21/Z20),IF(AA20=0,1000000000*SIGN(AA21),AA21/AA20),IF(AB20=0,1000000000*SIGN(AB21),AB21/AB20),IF(AC20=0,1000000000*SIGN(AC21),AC21/AC20))</f>
        <v>1</v>
      </c>
      <c r="AA22" s="2"/>
      <c r="AB22" s="1" t="s">
        <v>188</v>
      </c>
      <c r="AC22" s="156">
        <f>MAX(IF(Z20=0,1000000000*SIGN(Z21),Z21/Z20),IF(AA20=0,1000000000*SIGN(AA21),AA21/AA20),IF(AB20=0,1000000000*SIGN(AB21),AB21/AB20),IF(AC20=0,1000000000*SIGN(AC21),AC21/AC20))</f>
        <v>1</v>
      </c>
      <c r="AL22" s="8"/>
      <c r="AM22" s="8"/>
      <c r="AN22" s="8"/>
      <c r="AO22" s="8"/>
    </row>
    <row r="23" spans="1:41" ht="16.5" customHeight="1">
      <c r="A23" s="226"/>
      <c r="B23" s="279"/>
      <c r="C23" s="257"/>
      <c r="D23" s="257"/>
      <c r="E23" s="257"/>
      <c r="F23" s="255"/>
      <c r="G23" s="255"/>
      <c r="H23" s="255"/>
      <c r="I23" s="255"/>
      <c r="J23" s="255"/>
      <c r="K23" s="255"/>
      <c r="L23" s="278"/>
      <c r="M23" s="730"/>
      <c r="N23" s="740"/>
      <c r="O23" s="113"/>
      <c r="P23" s="102"/>
      <c r="Q23" s="115"/>
      <c r="R23" s="36" t="s">
        <v>157</v>
      </c>
      <c r="S23" s="59">
        <f>CEILING(S22-1.5*G22/SIN(3*PI()/8),S14)</f>
        <v>450</v>
      </c>
      <c r="T23" s="60" t="s">
        <v>4</v>
      </c>
      <c r="U23" s="36" t="s">
        <v>157</v>
      </c>
      <c r="V23" s="59">
        <f>CEILING(V22-1.5*G22/SIN(5*PI()/12),V14)</f>
        <v>675</v>
      </c>
      <c r="W23" s="60" t="s">
        <v>4</v>
      </c>
      <c r="Y23" s="7" t="s">
        <v>178</v>
      </c>
      <c r="Z23" s="7" t="s">
        <v>179</v>
      </c>
      <c r="AA23" s="7" t="s">
        <v>189</v>
      </c>
      <c r="AB23" s="111" t="s">
        <v>190</v>
      </c>
      <c r="AC23" s="7" t="s">
        <v>180</v>
      </c>
      <c r="AD23" s="3"/>
      <c r="AE23" s="3"/>
      <c r="AF23" s="3"/>
      <c r="AL23" s="8"/>
      <c r="AM23" s="8"/>
      <c r="AN23" s="8"/>
      <c r="AO23" s="8"/>
    </row>
    <row r="24" spans="1:41" ht="19.5">
      <c r="A24" s="226"/>
      <c r="B24" s="276" t="s">
        <v>31</v>
      </c>
      <c r="C24" s="249" t="s">
        <v>417</v>
      </c>
      <c r="D24" s="285">
        <f>E17*G17</f>
        <v>282.19917480513465</v>
      </c>
      <c r="E24" s="256" t="s">
        <v>12</v>
      </c>
      <c r="F24" s="255"/>
      <c r="G24" s="255"/>
      <c r="H24" s="249" t="s">
        <v>347</v>
      </c>
      <c r="I24" s="701">
        <f>MAX(Refs!D10/Refs!D7*Refs!D15*P6*(L22*E8)^0.3333333,Refs!D15*Refs!D11*P6^1.5*SQRT(E8))</f>
        <v>0.69632268896985472</v>
      </c>
      <c r="J24" s="253" t="s">
        <v>22</v>
      </c>
      <c r="K24" s="255"/>
      <c r="L24" s="327" t="s">
        <v>217</v>
      </c>
      <c r="M24" s="730"/>
      <c r="N24" s="740"/>
      <c r="O24" s="113"/>
      <c r="P24" s="102"/>
      <c r="Q24" s="115"/>
      <c r="R24" s="58" t="s">
        <v>100</v>
      </c>
      <c r="S24" s="108">
        <f>2*G22*(3*TAN(PI()/8)+2)+(E12+E13)/2+E14+E15</f>
        <v>2540.5108191427639</v>
      </c>
      <c r="T24" s="60" t="s">
        <v>4</v>
      </c>
      <c r="U24" s="58" t="s">
        <v>100</v>
      </c>
      <c r="V24" s="59">
        <f>3*G22*(3*TAN(PI()/12)+2)+(E12+E13)/2+E14+E15</f>
        <v>3128.0205332234318</v>
      </c>
      <c r="W24" s="60" t="s">
        <v>4</v>
      </c>
      <c r="Y24" s="143">
        <f>Z3+E$12/2</f>
        <v>1060</v>
      </c>
      <c r="Z24" s="64">
        <f>Z3+E$13/2</f>
        <v>722.5</v>
      </c>
      <c r="AA24" s="144">
        <f>E$12/2/Z24</f>
        <v>0.62283737024221453</v>
      </c>
      <c r="AB24" s="161">
        <f>E$13/2/Y24</f>
        <v>0.10613207547169812</v>
      </c>
      <c r="AC24" s="169">
        <f>IF(R$6="NO",0,SUM(Y34:AJ34))</f>
        <v>0</v>
      </c>
      <c r="AD24" s="3"/>
      <c r="AE24" s="3"/>
      <c r="AF24" s="3"/>
      <c r="AL24" s="8"/>
      <c r="AM24" s="8"/>
      <c r="AN24" s="8"/>
      <c r="AO24" s="8"/>
    </row>
    <row r="25" spans="1:41" ht="19.5">
      <c r="A25" s="226"/>
      <c r="B25" s="279"/>
      <c r="C25" s="249" t="str">
        <f>IF(V2&gt;V1,U2,U1)</f>
        <v>At col. face, vEd =</v>
      </c>
      <c r="D25" s="287">
        <f>MAX(V1:V2)</f>
        <v>1.3168880226840327</v>
      </c>
      <c r="E25" s="253" t="s">
        <v>22</v>
      </c>
      <c r="F25" s="255"/>
      <c r="G25" s="255"/>
      <c r="H25" s="249" t="s">
        <v>348</v>
      </c>
      <c r="I25" s="286">
        <f>Z16</f>
        <v>0.43144307772365736</v>
      </c>
      <c r="J25" s="253" t="s">
        <v>22</v>
      </c>
      <c r="K25" s="564">
        <f>I25/I24/Refs!D13</f>
        <v>0.30980110554916546</v>
      </c>
      <c r="L25" s="281"/>
      <c r="M25" s="258" t="str">
        <f>IF(D25&gt;IF(γRC&lt;22,0.4,Refs!D14)*P4*P5,"VEd too great","√")</f>
        <v>√</v>
      </c>
      <c r="N25" s="501"/>
      <c r="O25" s="114" t="s">
        <v>110</v>
      </c>
      <c r="P25" s="101">
        <f>P17+D34</f>
        <v>375</v>
      </c>
      <c r="Q25" s="116" t="s">
        <v>109</v>
      </c>
      <c r="R25" s="52" t="s">
        <v>110</v>
      </c>
      <c r="S25" s="101">
        <f>S14+$D34</f>
        <v>375</v>
      </c>
      <c r="T25" s="56" t="s">
        <v>109</v>
      </c>
      <c r="U25" s="52" t="s">
        <v>110</v>
      </c>
      <c r="V25" s="55">
        <f>V14+$D34</f>
        <v>375</v>
      </c>
      <c r="W25" s="56" t="s">
        <v>109</v>
      </c>
      <c r="Y25" s="146">
        <f>Z9+E$12/2</f>
        <v>1670</v>
      </c>
      <c r="Z25" s="66">
        <f>Z9+E$13/2</f>
        <v>1332.5</v>
      </c>
      <c r="AA25" s="147">
        <f>E$12/2/Z25</f>
        <v>0.33771106941838647</v>
      </c>
      <c r="AB25" s="162">
        <f>E$13/2/Y25</f>
        <v>6.7365269461077848E-2</v>
      </c>
      <c r="AC25" s="170">
        <f>IF(R$6="NO",0,SUM(Y35:AJ35))</f>
        <v>0</v>
      </c>
      <c r="AD25" s="157">
        <f>AC25/AB9</f>
        <v>0</v>
      </c>
      <c r="AE25" s="5" t="s">
        <v>191</v>
      </c>
      <c r="AF25" s="158">
        <f>1-AD25</f>
        <v>1</v>
      </c>
      <c r="AL25" s="8"/>
      <c r="AM25" s="8"/>
      <c r="AN25" s="8"/>
      <c r="AO25" s="8"/>
    </row>
    <row r="26" spans="1:41" ht="19.5">
      <c r="A26" s="226"/>
      <c r="B26" s="279"/>
      <c r="C26" s="249"/>
      <c r="D26" s="24"/>
      <c r="E26" s="253"/>
      <c r="F26" s="255"/>
      <c r="G26" s="255"/>
      <c r="H26" s="249" t="s">
        <v>416</v>
      </c>
      <c r="I26" s="21">
        <f>IF(I25&gt;I24,AG4,SUM(E12:E15))</f>
        <v>1125</v>
      </c>
      <c r="J26" s="725" t="str">
        <f>"(≈ "&amp;FIXED(Z4,0)&amp;" from col face)"</f>
        <v>(≈ 246 from col face)</v>
      </c>
      <c r="K26" s="725"/>
      <c r="L26" s="327" t="s">
        <v>218</v>
      </c>
      <c r="M26" s="258" t="str">
        <f>IF(K25&gt;1,"VEd/VRdc too great","√")</f>
        <v>√</v>
      </c>
      <c r="N26" s="234"/>
      <c r="O26" s="113" t="s">
        <v>108</v>
      </c>
      <c r="P26" s="503">
        <f>MAX(P25,CEILING((2*G22/SQRT(2)+P9-D34),P17)+D34)</f>
        <v>600</v>
      </c>
      <c r="Q26" s="116" t="s">
        <v>102</v>
      </c>
      <c r="R26" s="49" t="s">
        <v>108</v>
      </c>
      <c r="S26" s="129">
        <f>IF(S20="VALID",S17,S23)+D34</f>
        <v>150</v>
      </c>
      <c r="T26" s="56" t="s">
        <v>102</v>
      </c>
      <c r="U26" s="49" t="s">
        <v>108</v>
      </c>
      <c r="V26" s="221">
        <f>V17+D34</f>
        <v>150</v>
      </c>
      <c r="W26" s="56" t="s">
        <v>102</v>
      </c>
      <c r="Y26" s="146">
        <f>Z5+E$12/2</f>
        <v>450.00000000000102</v>
      </c>
      <c r="Z26" s="66">
        <f>Z5+E$13/2</f>
        <v>112.50000000000099</v>
      </c>
      <c r="AA26" s="147">
        <f>E$12/2/Z26</f>
        <v>3.9999999999999645</v>
      </c>
      <c r="AB26" s="162">
        <f>E$13/2/Y26</f>
        <v>0.24999999999999944</v>
      </c>
      <c r="AC26" s="170">
        <f>IF(R$6="NO",0,SUM(Y36:AJ36))</f>
        <v>0</v>
      </c>
      <c r="AD26" s="3"/>
      <c r="AE26" s="3"/>
      <c r="AF26" s="3"/>
      <c r="AL26" s="8"/>
      <c r="AM26" s="8"/>
      <c r="AN26" s="8"/>
      <c r="AO26" s="8"/>
    </row>
    <row r="27" spans="1:41" ht="15.75">
      <c r="A27" s="226"/>
      <c r="B27" s="288"/>
      <c r="C27" s="6"/>
      <c r="D27" s="256"/>
      <c r="E27" s="255"/>
      <c r="F27" s="255"/>
      <c r="G27" s="257"/>
      <c r="H27" s="257"/>
      <c r="I27" s="257"/>
      <c r="J27" s="257"/>
      <c r="K27" s="256"/>
      <c r="L27" s="289"/>
      <c r="M27" s="234"/>
      <c r="N27" s="234"/>
      <c r="O27" s="114" t="s">
        <v>100</v>
      </c>
      <c r="P27" s="103">
        <f>E12+E13+2*P9+G22*(2+0.75*PI())+MIN(E15,3/8*PI()*G22-P9)+MIN(E14,3/8*PI()*G22-P9)</f>
        <v>2573.6393195086653</v>
      </c>
      <c r="Q27" s="115" t="s">
        <v>4</v>
      </c>
      <c r="R27" s="114" t="s">
        <v>100</v>
      </c>
      <c r="S27" s="103">
        <f>IF(S20="VALID",S33,S24)</f>
        <v>2072.3922484407076</v>
      </c>
      <c r="T27" s="115" t="s">
        <v>4</v>
      </c>
      <c r="U27" s="114" t="s">
        <v>100</v>
      </c>
      <c r="V27" s="219">
        <f>V33</f>
        <v>2187.8988242782202</v>
      </c>
      <c r="W27" s="51" t="s">
        <v>4</v>
      </c>
      <c r="Y27" s="149">
        <f>Z6+E$12/2</f>
        <v>450</v>
      </c>
      <c r="Z27" s="150">
        <f>Z6+E$13/2</f>
        <v>112.5</v>
      </c>
      <c r="AA27" s="151">
        <f>E$12/2/Z27</f>
        <v>4</v>
      </c>
      <c r="AB27" s="163">
        <f>E$13/2/Y27</f>
        <v>0.25</v>
      </c>
      <c r="AC27" s="171">
        <f>IF(R$6="NO",0,SUM(Y37:AJ37))</f>
        <v>0</v>
      </c>
      <c r="AL27" s="8"/>
      <c r="AM27" s="8"/>
      <c r="AN27" s="8"/>
      <c r="AO27" s="8"/>
    </row>
    <row r="28" spans="1:41" ht="18">
      <c r="A28" s="226"/>
      <c r="B28" s="623" t="str">
        <f>IF(I24&gt;=I25,"No links required","SOLUTION ")</f>
        <v>No links required</v>
      </c>
      <c r="C28" s="331" t="str">
        <f>"Fig 6.22 ("&amp;IF(P28=1,"B","A")&amp;")"</f>
        <v>Fig 6.22 (B)</v>
      </c>
      <c r="D28" s="16"/>
      <c r="E28" s="255" t="str">
        <f>INTERNAL!E28</f>
        <v>.</v>
      </c>
      <c r="F28" s="257"/>
      <c r="G28" s="257"/>
      <c r="H28" s="257"/>
      <c r="I28" s="255"/>
      <c r="J28" s="255"/>
      <c r="K28" s="255"/>
      <c r="L28" s="278"/>
      <c r="M28" s="498" t="str">
        <f>IF(P31+D34&gt;MIN(T4,V4),"Links outside Column Strip","√")</f>
        <v>Links outside Column Strip</v>
      </c>
      <c r="N28" s="362"/>
      <c r="O28" s="464" t="str">
        <f>IF(P28=0,"No solution","ok")</f>
        <v>ok</v>
      </c>
      <c r="P28" s="57">
        <f>IF(OR(P27&lt;$I26,P14=0,P13&gt;P14,INTERNAL!AJ3=INTERNAL!AJ1),0,1)</f>
        <v>1</v>
      </c>
      <c r="Q28" s="51"/>
      <c r="R28" s="464" t="str">
        <f>IF(S28=0,"No solution","ok")</f>
        <v>No solution</v>
      </c>
      <c r="S28" s="109">
        <f>IF(OR(S27&lt;$I26,T28&gt;1.5*$G22,S11&gt;S12),0,1)</f>
        <v>0</v>
      </c>
      <c r="T28" s="213">
        <f>SQRT((S9+S14*SIN(PI()/4))^2+(S14*(1-COS(PI()/4)))^2)</f>
        <v>520.70795973749762</v>
      </c>
      <c r="U28" s="464" t="str">
        <f>IF(V28=0,"No solution","ok")</f>
        <v>ok</v>
      </c>
      <c r="V28" s="109">
        <f>IF(OR(V27&lt;$I26,W28&gt;1.5*$G22,V11&gt;V12),0,IF(V20="INVALID",2,1))</f>
        <v>1</v>
      </c>
      <c r="W28" s="213">
        <f>SQRT((V9+V14*SIN(PI()/6))^2+(V14*(1-COS(PI()/6)))^2)*IF(V20="INVALID",0.5,1)</f>
        <v>414.84803511098823</v>
      </c>
      <c r="AK28" s="8"/>
      <c r="AL28" s="8"/>
      <c r="AM28" s="8"/>
      <c r="AN28" s="8"/>
      <c r="AO28" s="8"/>
    </row>
    <row r="29" spans="1:41" ht="18">
      <c r="A29" s="226"/>
      <c r="B29" s="288"/>
      <c r="C29" s="325" t="str">
        <f>P32&amp;" link spurs of "&amp;P30&amp;S1&amp;P33</f>
        <v>7 link spurs of 3H8 @ 225</v>
      </c>
      <c r="D29" s="255"/>
      <c r="E29" s="255"/>
      <c r="F29" s="255"/>
      <c r="G29" s="356">
        <f>IF(P28=1,P18+P19,IF(S28=1,T8,W8))*P30+IF(AND(P28+S28=0,V28=2),3*V35,0)</f>
        <v>21</v>
      </c>
      <c r="H29" s="357" t="s">
        <v>119</v>
      </c>
      <c r="I29" s="255"/>
      <c r="J29" s="255"/>
      <c r="K29" s="255"/>
      <c r="L29" s="278"/>
      <c r="M29" s="498" t="str">
        <f>IF(P31+D34&gt;MIN(T4,V4),"CHECK As"&amp;W3,"√")</f>
        <v>CHECK Asx &amp; Asy</v>
      </c>
      <c r="N29" s="354"/>
      <c r="O29" s="14" t="s">
        <v>117</v>
      </c>
      <c r="P29" s="29">
        <f>(P26-D34)/P17+1</f>
        <v>3</v>
      </c>
      <c r="Q29" s="51" t="s">
        <v>118</v>
      </c>
      <c r="R29" s="14" t="s">
        <v>117</v>
      </c>
      <c r="S29" s="110">
        <f>(S26-D34)/S14+1</f>
        <v>1</v>
      </c>
      <c r="T29" s="51" t="s">
        <v>118</v>
      </c>
      <c r="U29" s="14" t="s">
        <v>117</v>
      </c>
      <c r="V29" s="220">
        <f>(V26-$D34)/V14+1</f>
        <v>1</v>
      </c>
      <c r="W29" s="51" t="s">
        <v>118</v>
      </c>
      <c r="Y29" s="186" t="s">
        <v>202</v>
      </c>
      <c r="Z29" s="190" t="s">
        <v>199</v>
      </c>
      <c r="AA29" s="190" t="s">
        <v>198</v>
      </c>
      <c r="AB29" s="186" t="s">
        <v>192</v>
      </c>
      <c r="AC29" s="190" t="s">
        <v>197</v>
      </c>
      <c r="AD29" s="190" t="s">
        <v>196</v>
      </c>
      <c r="AE29" s="186" t="s">
        <v>7</v>
      </c>
      <c r="AF29" s="167" t="s">
        <v>195</v>
      </c>
      <c r="AG29" s="167" t="s">
        <v>194</v>
      </c>
      <c r="AH29" s="186" t="s">
        <v>193</v>
      </c>
      <c r="AI29" s="190" t="s">
        <v>200</v>
      </c>
      <c r="AJ29" s="190" t="s">
        <v>201</v>
      </c>
    </row>
    <row r="30" spans="1:41" ht="18">
      <c r="A30" s="226"/>
      <c r="B30" s="490"/>
      <c r="C30" s="491" t="str">
        <f>IF(AND(P28+S28=0,V28=2),"plus 3 spurs of "&amp;V35&amp;S1&amp;V14,".")</f>
        <v>.</v>
      </c>
      <c r="D30" s="255"/>
      <c r="E30" s="255"/>
      <c r="F30" s="255"/>
      <c r="G30" s="255"/>
      <c r="H30" s="255"/>
      <c r="I30" s="20"/>
      <c r="J30" s="20"/>
      <c r="K30" s="255"/>
      <c r="L30" s="278"/>
      <c r="M30" s="382" t="s">
        <v>165</v>
      </c>
      <c r="N30" s="361" t="str">
        <f>V5&amp;" for Asx"</f>
        <v>675 for Asx</v>
      </c>
      <c r="O30" s="1" t="s">
        <v>123</v>
      </c>
      <c r="P30" s="222">
        <f>IF(P28&gt;0,P29,IF(S28&gt;0,S29,V29))</f>
        <v>3</v>
      </c>
      <c r="Q30" s="51" t="s">
        <v>2</v>
      </c>
      <c r="S30" s="3"/>
      <c r="Y30" s="179">
        <f>IF(AND(OR(AE3=AA3,AE3=AB3),Z$20&lt;=-E$12/2,MIN(-Z$21/Z$20,-AA$21/AA$20)&lt;AB24,MAX(-AB$21/AB$20,-AC$21/AC$20)&gt;-AB24),1,0)</f>
        <v>0</v>
      </c>
      <c r="Z30" s="182">
        <f>IF(AND(AE3=AA3,AB$21&gt;0,Z$20&lt;0,(-Z$21/Z$20*Y24-E$13/2)/Z3&lt;1),1,0)</f>
        <v>0</v>
      </c>
      <c r="AA30" s="182">
        <f>IF(AND(AE3=AA3,Z$21&gt;0,Z$20&lt;0,(-AC$20/AC$21*Z24-E$12/2)/Z3&lt;1),1,0)</f>
        <v>0</v>
      </c>
      <c r="AB30" s="179">
        <f>IF(AND(OR(AE3=AA3,AE3=AC3),Z$21&gt;=E$13/2,MIN(Z$20/Z$21,AB$20/AB$21)&lt;AA24,MAX(AA$20/AA$21,AC$20/AC$21)&gt;-AA24),1,0)</f>
        <v>0</v>
      </c>
      <c r="AC30" s="182">
        <f>IF(AND(OR(AE3=AA3,AE3=AC3),AB$21&gt;0,AA$20&gt;0,(AB$20/AB$21*Z24-E$12/2)/Z3&lt;1),1,0)</f>
        <v>0</v>
      </c>
      <c r="AD30" s="201">
        <f>IF(AND(AB$21&gt;0,AA$20&gt;0,OR(AE3=AD3,AE3=AB3,(AA$21/AA$20*Y24-E$13/2)/Z3&lt;1)),1,0)</f>
        <v>1</v>
      </c>
      <c r="AE30" s="187">
        <f>IF(AND(Z$20&gt;=E$12/2,AA$21/AA$20&lt;AB24,AC$21/AC$20&gt;-AB24),1,0)</f>
        <v>0</v>
      </c>
      <c r="AF30" s="37">
        <f>IF(AND(Z$21&lt;0,AC$20&gt;0,(-AC$21/AC$20*Y24-E$13/2)/Z3&lt;1),1,0)</f>
        <v>0</v>
      </c>
      <c r="AG30" s="37">
        <f>IF(AND(Z$21&lt;0,AC$20&gt;0,(-Z$20/Z$21*Z24-E$12/2)/Z3&lt;1),1,0)</f>
        <v>0</v>
      </c>
      <c r="AH30" s="187">
        <f>IF(AND(Z$21&lt;=-E$13/2-H$14,MIN(-AB$20/AB$21,-Z$20/Z$21)&lt;AA24,MAX(-AC$20/AC$21,-AA$20/AA$21)&gt;-AA24),1,0)</f>
        <v>0</v>
      </c>
      <c r="AI30" s="201">
        <f>IF(AND(Z$21&lt;0,Z$20&lt;0,OR(AE3=AD3,AE3=AC3,(AA$20/AA$21*Z24-E$12/2)/Z3&lt;1)),1,0)</f>
        <v>0</v>
      </c>
      <c r="AJ30" s="182">
        <f>IF(AND(OR(AE3=AA3,AE3=AB3),Z$21&lt;0,Z$20&lt;0,(AB$21/AB$20*Y24-E$13/2)/Z3&lt;1),1,0)</f>
        <v>0</v>
      </c>
    </row>
    <row r="31" spans="1:41" ht="18">
      <c r="A31" s="226"/>
      <c r="B31" s="279"/>
      <c r="C31" s="249" t="str">
        <f>"St "&amp;IF(P28=1,"(average)","")&amp;" ="</f>
        <v>St (average) =</v>
      </c>
      <c r="D31" s="20">
        <f>IF(P28=1,ROUND(((P18-1)*P21+(P19-1)*P22)/(P18+P19-2),1),IF(S28=1,S9,V9))</f>
        <v>232.4</v>
      </c>
      <c r="E31" s="256" t="s">
        <v>4</v>
      </c>
      <c r="F31" s="249" t="s">
        <v>111</v>
      </c>
      <c r="G31" s="20">
        <f>IF(P28=1,P17,IF(S28=1,S14,V14))</f>
        <v>225</v>
      </c>
      <c r="H31" s="17" t="s">
        <v>4</v>
      </c>
      <c r="I31" s="20"/>
      <c r="J31" s="20"/>
      <c r="K31" s="255"/>
      <c r="L31" s="278"/>
      <c r="M31" s="382" t="s">
        <v>88</v>
      </c>
      <c r="N31" s="361" t="str">
        <f>V6&amp;" for Asy"</f>
        <v>1012.5 for Asy</v>
      </c>
      <c r="O31" s="14" t="s">
        <v>122</v>
      </c>
      <c r="P31" s="8">
        <f>(P30-1)*P33</f>
        <v>450</v>
      </c>
      <c r="Q31" s="51" t="s">
        <v>4</v>
      </c>
      <c r="R31" s="14" t="s">
        <v>221</v>
      </c>
      <c r="S31" s="211">
        <f>(I26-(E12+E13)/2-E14-E15)/4/SIN(PI()/8)-(T5+T6)/4-D34</f>
        <v>-63.779166128519137</v>
      </c>
      <c r="U31" s="14" t="s">
        <v>221</v>
      </c>
      <c r="V31" s="211">
        <f>(I26-(E12+E13)/2-E14-E15)/6/SIN(PI()/12)-($T5+$T6)/4-$D34</f>
        <v>-69.027815141599376</v>
      </c>
      <c r="W31" s="2"/>
      <c r="Y31" s="180">
        <f>IF(AND(OR(AE9=AA9,AE9=AB9),Z$20&lt;=-E$12/2,MIN(-Z$21/Z$20,-AA$21/AA$20)&lt;AB25,MAX(-AB$21/AB$20,-AC$21/AC$20)&gt;-AB25),1,0)</f>
        <v>0</v>
      </c>
      <c r="Z31" s="183">
        <f>IF(AND(AE9=AA9,AB$21&gt;0,Z$20&lt;0,(-Z$21/Z$20*Y25-E$13/2)/Z9&lt;1),1,0)</f>
        <v>0</v>
      </c>
      <c r="AA31" s="183">
        <f>IF(AND(AE9=AA9,Z$21&gt;0,Z$20&lt;0,(-AC$20/AC$21*Z25-E$12/2)/Z9&lt;1),1,0)</f>
        <v>0</v>
      </c>
      <c r="AB31" s="180">
        <f>IF(AND(OR(AE9=AA9,AE9=AC9),Z$21&gt;=E$13/2,MIN(Z$20/Z$21,AB$20/AB$21)&lt;AA25,MAX(AA$20/AA$21,AC$20/AC$21)&gt;-AA25),1,0)</f>
        <v>0</v>
      </c>
      <c r="AC31" s="183">
        <f>IF(AND(OR(AE9=AA9,AE9=AC9),AB$21&gt;0,AA$20&gt;0,(AB$20/AB$21*Z25-E$12/2)/Z9&lt;1),1,0)</f>
        <v>0</v>
      </c>
      <c r="AD31" s="202">
        <f>IF(AND(AB$21&gt;0,AA$20&gt;0,OR(AE9=AD9,AE9=AB9,(AA$21/AA$20*Y25-E$13/2)/Z9&lt;1)),1,0)</f>
        <v>1</v>
      </c>
      <c r="AE31" s="188">
        <f>IF(AND(Z$20&gt;=E$12/2,AA$21/AA$20&lt;AB25,AC$21/AC$20&gt;-AB25),1,0)</f>
        <v>0</v>
      </c>
      <c r="AF31" s="38">
        <f>IF(AND(Z$21&lt;0,AC$20&gt;0,(-AC$21/AC$20*Y25-E$13/2)/Z9&lt;1),1,0)</f>
        <v>0</v>
      </c>
      <c r="AG31" s="38">
        <f>IF(AND(Z$21&lt;0,AC$20&gt;0,(-Z$20/Z$21*Z25-E$12/2)/Z9&lt;1),1,0)</f>
        <v>0</v>
      </c>
      <c r="AH31" s="188">
        <f>IF(AND(Z$21&lt;=-E$13/2-H$14,MIN(-AB$20/AB$21,-Z$20/Z$21)&lt;AA25,MAX(-AC$20/AC$21,-AA$20/AA$21)&gt;-AA25),1,0)</f>
        <v>0</v>
      </c>
      <c r="AI31" s="202">
        <f>IF(AND(Z$21&lt;0,Z$20&lt;0,OR(AE9=AD9,AE9=AC9,(AA$20/AA$21*Z25-E$12/2)/Z9&lt;1)),1,0)</f>
        <v>0</v>
      </c>
      <c r="AJ31" s="183">
        <f>IF(AND(OR(AE9=AA9,AE9=AB9),Z$21&lt;0,Z$20&lt;0,(AB$21/AB$20*Y25-E$13/2)/Z9&lt;1),1,0)</f>
        <v>0</v>
      </c>
    </row>
    <row r="32" spans="1:41">
      <c r="A32" s="226"/>
      <c r="B32" s="279"/>
      <c r="C32" s="292" t="s">
        <v>113</v>
      </c>
      <c r="D32" s="24">
        <f>IF(P28=1,MAX(P10,P15),IF(S28=1,S13,V13))</f>
        <v>0.12912712633507942</v>
      </c>
      <c r="E32" s="255"/>
      <c r="F32" s="486" t="s">
        <v>219</v>
      </c>
      <c r="G32" s="20"/>
      <c r="H32" s="488"/>
      <c r="I32" s="20"/>
      <c r="J32" s="20"/>
      <c r="K32" s="255"/>
      <c r="L32" s="278"/>
      <c r="M32" s="83"/>
      <c r="N32" s="83"/>
      <c r="O32" s="52" t="s">
        <v>134</v>
      </c>
      <c r="P32" s="8">
        <f>IF(P28=1,P18+P19,IF(S28=1,T8,W8))</f>
        <v>7</v>
      </c>
      <c r="Q32" s="51" t="s">
        <v>2</v>
      </c>
      <c r="R32" s="14" t="s">
        <v>222</v>
      </c>
      <c r="S32" s="211">
        <f>(I26/AF25-(E12+E13)/2-E14-E15)/4/SIN(PI()/8)-(T5+T6)/4-D34</f>
        <v>-63.779166128519137</v>
      </c>
      <c r="T32" s="2"/>
      <c r="U32" s="14" t="s">
        <v>222</v>
      </c>
      <c r="V32" s="211">
        <f>(I26/AF25-(E12+E13)/2-E14-E15)/6/SIN(PI()/12)-($T5+$T6)/4-$D34</f>
        <v>-69.027815141599376</v>
      </c>
      <c r="W32" s="2"/>
      <c r="Y32" s="180">
        <f>IF(AND(OR(AE5=AA5,AE5=AB5),Z$20&lt;=-E$12/2,MIN(-Z$21/Z$20,-AA$21/AA$20)&lt;AB26,MAX(-AB$21/AB$20,-AC$21/AC$20)&gt;-AB26),1,0)</f>
        <v>0</v>
      </c>
      <c r="Z32" s="183">
        <f>IF(AND(AE5=AA5,AB$21&gt;0,Z$20&lt;0,(-Z$21/Z$20*Y26-E$13/2)/IF(Z5=0,0.000001,Z5)&lt;1),1,0)</f>
        <v>0</v>
      </c>
      <c r="AA32" s="183">
        <f>IF(AND(AE5=AA5,Z$21&gt;0,Z$20&lt;0,(-AC$20/AC$21*Z26-E$12/2)/IF(Z5=0,0.000001,Z5)&lt;1),1,0)</f>
        <v>0</v>
      </c>
      <c r="AB32" s="180">
        <f>IF(AND(OR(AE5=AA5,AE5=AC5),Z$21&gt;=E$13/2,MIN(Z$20/Z$21,AB$20/AB$21)&lt;AA26,MAX(AA$20/AA$21,AC$20/AC$21)&gt;-AA26),1,0)</f>
        <v>0</v>
      </c>
      <c r="AC32" s="183">
        <f>IF(AND(OR(AE5=AA5,AE5=AC5),AB$21&gt;0,AA$20&gt;0,(AB$20/AB$21*Z26-E$12/2)/IF(Z5=0,0.000001,Z5)&lt;1),1,0)</f>
        <v>0</v>
      </c>
      <c r="AD32" s="202">
        <f>IF(AND(AB$21&gt;0,AA$20&gt;0,OR(AE5=AD5,AE5=AB5,(AA$21/AA$20*Y26-E$13/2)/IF(Z5=0,0.000001,Z5)&lt;1)),1,0)</f>
        <v>1</v>
      </c>
      <c r="AE32" s="188">
        <f>IF(AND(Z$20&gt;=E$12/2,AA$21/AA$20&lt;AB26,AC$21/AC$20&gt;-AB26),1,0)</f>
        <v>0</v>
      </c>
      <c r="AF32" s="38">
        <f>IF(AND(Z$21&lt;0,AC$20&gt;0,(-AC$21/AC$20*Y26-E$13/2)/IF(Z5=0,0.000001,Z5)&lt;1),1,0)</f>
        <v>0</v>
      </c>
      <c r="AG32" s="38">
        <f>IF(AND(Z$21&lt;0,AC$20&gt;0,(-Z$20/Z$21*Z26-E$12/2)/IF(Z5=0,0.000001,Z5)&lt;1),1,0)</f>
        <v>0</v>
      </c>
      <c r="AH32" s="188">
        <f>IF(AND(Z$21&lt;=-E$13/2-H$14,MIN(-AB$20/AB$21,-Z$20/Z$21)&lt;AA26,MAX(-AC$20/AC$21,-AA$20/AA$21)&gt;-AA26),1,0)</f>
        <v>0</v>
      </c>
      <c r="AI32" s="202">
        <f>IF(AND(Z$21&lt;0,Z$20&lt;0,OR(AE5=AD5,AE5=AC5,(AA$20/AA$21*Z26-E$12/2)/IF(Z5=0,0.000001,Z5)&lt;1)),1,0)</f>
        <v>0</v>
      </c>
      <c r="AJ32" s="183">
        <f>IF(AND(OR(AE5=AA5,AE5=AB5),Z$21&lt;0,Z$20&lt;0,(AB$21/AB$20*Y26-E$13/2)/IF(Z5=0,0.000001,Z5)&lt;1),1,0)</f>
        <v>0</v>
      </c>
    </row>
    <row r="33" spans="1:36" ht="15.75">
      <c r="A33" s="226"/>
      <c r="B33" s="288"/>
      <c r="C33" s="292" t="s">
        <v>112</v>
      </c>
      <c r="D33" s="24">
        <f>IF(P28=1,P20,IF(S28=1,S15,V15))</f>
        <v>1.5638150097869192</v>
      </c>
      <c r="E33" s="17" t="str">
        <f>IF(P28=1,Q10,Q17)</f>
        <v>mm</v>
      </c>
      <c r="F33" s="249"/>
      <c r="G33" s="20"/>
      <c r="H33" s="17"/>
      <c r="I33" s="20"/>
      <c r="J33" s="20"/>
      <c r="K33" s="255"/>
      <c r="L33" s="278"/>
      <c r="M33" s="237"/>
      <c r="N33" s="83"/>
      <c r="O33" s="52" t="s">
        <v>111</v>
      </c>
      <c r="P33" s="3">
        <f>IF(P28=1,P17,IF(S28=1,S14,V14))</f>
        <v>225</v>
      </c>
      <c r="Q33" s="51" t="s">
        <v>4</v>
      </c>
      <c r="R33" s="212" t="s">
        <v>224</v>
      </c>
      <c r="S33" s="211">
        <f>(2*SQRT(S18^2*(2-1/SQRT(2))+S18*S9/SQRT(2)+S9^2)+(E12+E13)/2+E14+E15)*IF(S16=S31,1,AF25)</f>
        <v>2072.3922484407076</v>
      </c>
      <c r="T33" s="1"/>
      <c r="U33" s="212" t="s">
        <v>224</v>
      </c>
      <c r="V33" s="211">
        <f>(3*SQRT(V18^2*(5/4+(COS(PI()/6))^2-2*COS(PI()/6))+V18*V9+V9^2)+(E12+E13)/2+E14+E15)*IF(V16=V31,1,AF25)</f>
        <v>2187.8988242782202</v>
      </c>
      <c r="W33" s="2"/>
      <c r="Y33" s="181">
        <f>IF(AND(OR(AE6=AA6,AE6=AB6),Z$20&lt;=-E$12/2,MIN(-Z$21/Z$20,-AA$21/AA$20)&lt;AB27,MAX(-AB$21/AB$20,-AC$21/AC$20)&gt;-AB27),1,0)</f>
        <v>0</v>
      </c>
      <c r="Z33" s="184">
        <f>IF(AND(AE6=AA6,AB$21&gt;0,Z$20&lt;0,(-Z$21/Z$20*Y27-E$13/2)/IF(Z6=0,0.000001,Z6)&lt;1),1,0)</f>
        <v>0</v>
      </c>
      <c r="AA33" s="184">
        <f>IF(AND(AE6=AA6,Z$21&gt;0,Z$20&lt;0,(-AC$20/AC$21*Z27-E$12/2)/IF(Z6=0,0.000001,Z6)&lt;1),1,0)</f>
        <v>0</v>
      </c>
      <c r="AB33" s="181">
        <f>IF(AND(OR(AE6=AA6,AE6=AC6),Z$21&gt;=E$13/2,MIN(Z$20/Z$21,AB$20/AB$21)&lt;AA27,MAX(AA$20/AA$21,AC$20/AC$21)&gt;-AA27),1,0)</f>
        <v>0</v>
      </c>
      <c r="AC33" s="184">
        <f>IF(AND(OR(AE6=AA6,AE6=AC6),AB$21&gt;0,AA$20&gt;0,(AB$20/AB$21*Z27-E$12/2)/IF(Z6=0,0.000001,Z6)&lt;1),1,0)</f>
        <v>0</v>
      </c>
      <c r="AD33" s="203">
        <f>IF(AND(AB$21&gt;0,AA$20&gt;0,OR(AE6=AD6,AE6=AB6,(AA$21/AA$20*Y27-E$13/2)/IF(Z6=0,0.000001,Z6)&lt;1)),1,0)</f>
        <v>1</v>
      </c>
      <c r="AE33" s="189">
        <f>IF(AND(Z$20&gt;=E$12/2,AA$21/AA$20&lt;AB27,AC$21/AC$20&gt;-AB27),1,0)</f>
        <v>0</v>
      </c>
      <c r="AF33" s="39">
        <f>IF(AND(Z$21&lt;0,AC$20&gt;0,(-AC$21/AC$20*Y27-E$13/2)/IF(Z6=0,0.000001,Z6)&lt;1),1,0)</f>
        <v>0</v>
      </c>
      <c r="AG33" s="39">
        <f>IF(AND(Z$21&lt;0,AC$20&gt;0,(-Z$20/Z$21*Z27-E$12/2)/IF(Z6=0,0.000001,Z6)&lt;1),1,0)</f>
        <v>0</v>
      </c>
      <c r="AH33" s="189">
        <f>IF(AND(Z$21&lt;=-E$13/2-H$14,MIN(-AB$20/AB$21,-Z$20/Z$21)&lt;AA27,MAX(-AC$20/AC$21,-AA$20/AA$21)&gt;-AA27),1,0)</f>
        <v>0</v>
      </c>
      <c r="AI33" s="203">
        <f>IF(AND(Z$21&lt;0,Z$20&lt;0,OR(AE6=AD6,AE6=AC6,(AA$20/AA$21*Z27-E$12/2)/IF(Z6=0,0.000001,Z6)&lt;1)),1,0)</f>
        <v>0</v>
      </c>
      <c r="AJ33" s="184">
        <f>IF(AND(OR(AE6=AA6,AE6=AB6),Z$21&lt;0,Z$20&lt;0,(AB$21/AB$20*Y27-E$13/2)/IF(Z6=0,0.000001,Z6)&lt;1),1,0)</f>
        <v>0</v>
      </c>
    </row>
    <row r="34" spans="1:36" ht="16.5" customHeight="1">
      <c r="A34" s="226"/>
      <c r="B34" s="279"/>
      <c r="C34" s="249" t="s">
        <v>120</v>
      </c>
      <c r="D34" s="20">
        <f>FLOOR(G22/2,5)</f>
        <v>150</v>
      </c>
      <c r="E34" s="17" t="s">
        <v>121</v>
      </c>
      <c r="F34" s="249"/>
      <c r="G34" s="20"/>
      <c r="H34" s="17"/>
      <c r="I34" s="20"/>
      <c r="J34" s="20"/>
      <c r="K34" s="257"/>
      <c r="L34" s="278"/>
      <c r="M34" s="730" t="s">
        <v>380</v>
      </c>
      <c r="N34" s="740"/>
      <c r="O34" s="14" t="s">
        <v>266</v>
      </c>
      <c r="P34" s="494" t="s">
        <v>267</v>
      </c>
      <c r="R34" s="14" t="s">
        <v>266</v>
      </c>
      <c r="S34" s="27" t="str">
        <f>FIXED(IF(S20="VALID",S31,S22)+G22/2,0)</f>
        <v>89</v>
      </c>
      <c r="U34" s="14" t="s">
        <v>266</v>
      </c>
      <c r="V34" s="27" t="str">
        <f>FIXED(V31+G22/2,0)</f>
        <v>83</v>
      </c>
      <c r="Y34" s="194">
        <f>Y24*(MIN(AB24,AC$22)-MAX(-AB24,Z$22))*Y30</f>
        <v>0</v>
      </c>
      <c r="Z34" s="193">
        <f>Z3*Z30*(MAX(0,MIN(PI()/4,ATAN((AC$21/AC$20*-Y24-E$13/2)/Z3)))-MAX(0,MIN(PI()/4,ATAN((Z$21/Z$20*-Y24-E$13/2)/Z3))))</f>
        <v>0</v>
      </c>
      <c r="AA34" s="193">
        <f>Z3*AA30*(MAX(0,MIN(PI()/4,ATAN((Z$20/Z$21*-Z24-E$12/2)/Z3)))-MAX(0,MIN(PI()/4,ATAN((AC$20/AC$21*-Z24-E$12/2)/Z3))))</f>
        <v>0</v>
      </c>
      <c r="AB34" s="194">
        <f>Z24*(MIN(AA24,MAX(AA$20/AA$21,AC$20/AC$21))-MAX(-AA24,MIN(Z$20/Z$21,AB$20/AB$21)))*AB30</f>
        <v>0</v>
      </c>
      <c r="AC34" s="193">
        <f>Z3*AC30*(MAX(0,MIN(PI()/4,ATAN((AA$20/AA$21*Z24-E$12/2)/Z3)))-MAX(0,MIN(PI()/4,ATAN((AB$20/AB$21*Z24-E$12/2)/Z3))))</f>
        <v>0</v>
      </c>
      <c r="AD34" s="192">
        <f>AD30*(IF(OR(AE3=AA3,AE3=AC3),Z3*(MAX(0,MIN(PI()/4,ATAN((AB$21/AB$20*Y24-E$13/2)/Z3)))-MAX(0,MIN(PI()/4,ATAN((AA$21/AA$20*Y24-E$13/2)/Z3)))),MAX(0,MIN(E$15,AB$21/AB$20*Y24-E$13/2))-MAX(0,MIN(E$15,AA$21/AA$20*Y24-E$13/2))))</f>
        <v>0</v>
      </c>
      <c r="AE34" s="191">
        <f>AE30*(MIN(E$13/2+MIN(E$15,0),MAX(-E$13/2,MAX(AB$21/AB$20,AC$21/AC$20)*Y24))-MIN(E$13/2+MIN(E$15,0),MAX(-E$13/2,MIN(Z$21/Z$20,AA$21/AA$20)*Y24)))</f>
        <v>0</v>
      </c>
      <c r="AF34" s="195">
        <f>Z3*AF30*(MAX(0,MIN(PI()/4,ATAN((Z$21/Z$20*-Y24-E$13/2)/Z3)))-MAX(0,MIN(PI()/4,ATAN((AC$21/AC$20*-Y24-E$13/2)/Z3))))</f>
        <v>0</v>
      </c>
      <c r="AG34" s="195">
        <f>Z3*AG30*(MAX(0,MIN(PI()/4,ATAN((AC$20/AC$21*-Z24-E$12/2)/Z3)))-MAX(0,MIN(PI()/4,ATAN((Z$20/Z$21*-Z24-E$12/2)/Z3))))</f>
        <v>0</v>
      </c>
      <c r="AH34" s="191">
        <f>AH30*(MIN(E$12/2,MAX(-E$12/2-MIN(E$14,0),MAX(-AA$20/AA$21,-AC$20/AC$21)*Z24))-MIN(E$12/2,MAX(-E$12/2-MIN(E$14,0),MIN(-Z$20/Z$21,-AB$20/AB$21)*Z24)))</f>
        <v>0</v>
      </c>
      <c r="AI34" s="192">
        <f>AI30*(IF(OR(AE3=AA3,AE3=AB3),Z3*(MAX(0,MIN(PI()/4,ATAN((AB$20/AB$21*Z24-E$12/2)/Z3)))-MAX(0,MIN(PI()/4,ATAN((AA$20/AA$21*Z24-E$12/2)/Z3)))),MAX(0,MIN(E$14,AB$20/AB$21*Z24-E$12/2))-MAX(0,MIN(E$14,AA$20/AA$21*Z24-E$12/2))))</f>
        <v>0</v>
      </c>
      <c r="AJ34" s="193">
        <f>Z3*AJ30*(MAX(0,MIN(PI()/4,ATAN((AA$21/AA$20*Y24-E$13/2)/Z3)))-MAX(0,MIN(PI()/4,ATAN((AB$21/AB$20*Y24-E$13/2)/Z3))))</f>
        <v>0</v>
      </c>
    </row>
    <row r="35" spans="1:36" ht="18">
      <c r="A35" s="226"/>
      <c r="B35" s="279"/>
      <c r="C35" s="249" t="s">
        <v>268</v>
      </c>
      <c r="D35" s="20">
        <f>D34+P31</f>
        <v>600</v>
      </c>
      <c r="E35" s="17" t="s">
        <v>121</v>
      </c>
      <c r="F35" s="16"/>
      <c r="G35" s="20"/>
      <c r="H35" s="17"/>
      <c r="I35" s="20"/>
      <c r="J35" s="20"/>
      <c r="K35" s="257"/>
      <c r="L35" s="278"/>
      <c r="M35" s="730"/>
      <c r="N35" s="740"/>
      <c r="O35" s="239" t="s">
        <v>41</v>
      </c>
      <c r="P35" s="2"/>
      <c r="U35" s="216" t="s">
        <v>227</v>
      </c>
      <c r="V35" s="218">
        <f>IF(V20="INVALID",CEILING((1-(G22-V9/2)/(V19/2-V9/2))*(V29-1),1)+1,0)</f>
        <v>0</v>
      </c>
      <c r="W35" s="217" t="s">
        <v>225</v>
      </c>
      <c r="Y35" s="194">
        <f>Y25*(MIN(AB25,AC$22)-MAX(-AB25,Z$22))*Y31</f>
        <v>0</v>
      </c>
      <c r="Z35" s="193">
        <f>Z9*Z31*(MAX(0,MIN(PI()/4,ATAN((AC$21/AC$20*-Y25-E$13/2)/Z9)))-MAX(0,MIN(PI()/4,ATAN((Z$21/Z$20*-Y25-E$13/2)/Z9))))</f>
        <v>0</v>
      </c>
      <c r="AA35" s="193">
        <f>Z9*AA31*(MAX(0,MIN(PI()/4,ATAN((Z$20/Z$21*-Z25-E$12/2)/Z9)))-MAX(0,MIN(PI()/4,ATAN((AC$20/AC$21*-Z25-E$12/2)/Z9))))</f>
        <v>0</v>
      </c>
      <c r="AB35" s="194">
        <f>Z25*(MIN(AA25,MAX(AA$20/AA$21,AC$20/AC$21))-MAX(-AA25,MIN(Z$20/Z$21,AB$20/AB$21)))*AB31</f>
        <v>0</v>
      </c>
      <c r="AC35" s="193">
        <f>Z9*AC31*(MAX(0,MIN(PI()/4,ATAN((AA$20/AA$21*Z25-E$12/2)/Z9)))-MAX(0,MIN(PI()/4,ATAN((AB$20/AB$21*Z25-E$12/2)/Z9))))</f>
        <v>0</v>
      </c>
      <c r="AD35" s="192">
        <f>AD31*(IF(OR(AE9=AA9,AE9=AC9),Z9*(MAX(0,MIN(PI()/4,ATAN((AB$21/AB$20*Y25-E$13/2)/Z9)))-MAX(0,MIN(PI()/4,ATAN((AA$21/AA$20*Y25-E$13/2)/Z9)))),MAX(0,MIN(E$15,AB$21/AB$20*Y25-E$13/2))-MAX(0,MIN(E$15,AA$21/AA$20*Y25-E$13/2))))</f>
        <v>0</v>
      </c>
      <c r="AE35" s="191">
        <f>AE31*(MIN(E$13/2+MIN(E$15,0),MAX(-E$13/2,MAX(AB$21/AB$20,AC$21/AC$20)*Y25))-MIN(E$13/2+MIN(E$15,0),MAX(-E$13/2,MIN(Z$21/Z$20,AA$21/AA$20)*Y25)))</f>
        <v>0</v>
      </c>
      <c r="AF35" s="195">
        <f>Z9*AF31*(MAX(0,MIN(PI()/4,ATAN((Z$21/Z$20*-Y25-E$13/2)/Z9)))-MAX(0,MIN(PI()/4,ATAN((AC$21/AC$20*-Y25-E$13/2)/Z9))))</f>
        <v>0</v>
      </c>
      <c r="AG35" s="195">
        <f>Z9*AG31*(MAX(0,MIN(PI()/4,ATAN((AC$20/AC$21*-Z25-E$12/2)/Z9)))-MAX(0,MIN(PI()/4,ATAN((Z$20/Z$21*-Z25-E$12/2)/Z9))))</f>
        <v>0</v>
      </c>
      <c r="AH35" s="191">
        <f>AH31*(MIN(E$12/2,MAX(-E$12/2-MIN(E$14,0),MAX(-AA$20/AA$21,-AC$20/AC$21)*Z25))-MIN(E$12/2,MAX(-E$12/2-MIN(E$14,0),MIN(-Z$20/Z$21,-AB$20/AB$21)*Z25)))</f>
        <v>0</v>
      </c>
      <c r="AI35" s="192">
        <f>AI31*(IF(OR(AE9=AA9,AE9=AB9),Z9*(MAX(0,MIN(PI()/4,ATAN((AB$20/AB$21*Z25-E$12/2)/Z9)))-MAX(0,MIN(PI()/4,ATAN((AA$20/AA$21*Z25-E$12/2)/Z9)))),MAX(0,MIN(E$14,AB$20/AB$21*Z25-E$12/2))-MAX(0,MIN(E$14,AA$20/AA$21*Z25-E$12/2))))</f>
        <v>0</v>
      </c>
      <c r="AJ35" s="193">
        <f>Z9*AJ31*(MAX(0,MIN(PI()/4,ATAN((AA$21/AA$20*Y25-E$13/2)/Z9)))-MAX(0,MIN(PI()/4,ATAN((AB$21/AB$20*Y25-E$13/2)/Z9))))</f>
        <v>0</v>
      </c>
    </row>
    <row r="36" spans="1:36" ht="18">
      <c r="A36" s="226"/>
      <c r="B36" s="279"/>
      <c r="C36" s="249" t="s">
        <v>100</v>
      </c>
      <c r="D36" s="20">
        <f>IF(P28=1,P27,IF(S28=1,S27,V27))</f>
        <v>2573.6393195086653</v>
      </c>
      <c r="E36" s="17" t="str">
        <f>"mm "&amp;IF(I26&gt;D36,"&lt;","&gt;")&amp;" "&amp;FIXED(I26,0)&amp;" mm"</f>
        <v>mm &gt; 1,125 mm</v>
      </c>
      <c r="F36" s="249"/>
      <c r="G36" s="20"/>
      <c r="H36" s="324" t="s">
        <v>241</v>
      </c>
      <c r="I36" s="20"/>
      <c r="J36" s="20"/>
      <c r="K36" s="257"/>
      <c r="L36" s="281"/>
      <c r="M36" s="730"/>
      <c r="N36" s="740"/>
      <c r="O36" s="545">
        <f>IF(M22="√",0,1)</f>
        <v>0</v>
      </c>
      <c r="P36" s="705" t="str">
        <f>IF(O36=1,"Size &gt; 4d. ","")</f>
        <v/>
      </c>
      <c r="Q36" s="624" t="s">
        <v>381</v>
      </c>
      <c r="R36" s="5">
        <f>IF(AND(MAX(E12:E13)&gt;3.975*G22,MAX(E12:E13)&lt;=4*G22),1,0)</f>
        <v>0</v>
      </c>
      <c r="S36" s="2"/>
      <c r="T36" s="2"/>
      <c r="U36" s="2"/>
      <c r="V36" s="2"/>
      <c r="W36" s="2"/>
      <c r="X36" s="2"/>
      <c r="Y36" s="194">
        <f>Y26*(MIN(AB26,AC$22)-MAX(-AB26,Z$22))*Y32</f>
        <v>0</v>
      </c>
      <c r="Z36" s="193">
        <f>Z5*Z32*(MAX(0,MIN(PI()/4,ATAN((AC$21/AC$20*-Y26-E$13/2)/IF(Z5=0,0.000001,Z5))))-MAX(0,MIN(PI()/4,ATAN((Z$21/Z$20*-Y26-E$13/2)/IF(Z5=0,0.000001,Z5)))))</f>
        <v>0</v>
      </c>
      <c r="AA36" s="193">
        <f>Z5*AA32*(MAX(0,MIN(PI()/4,ATAN((Z$20/Z$21*-Z26-E$12/2)/IF(Z5=0,0.000001,Z5))))-MAX(0,MIN(PI()/4,ATAN((AC$20/AC$21*-Z26-E$12/2)/IF(Z5=0,0.000001,Z5)))))</f>
        <v>0</v>
      </c>
      <c r="AB36" s="194">
        <f>Z26*(MIN(AA26,MAX(AA$20/AA$21,AC$20/AC$21))-MAX(-AA26,MIN(Z$20/Z$21,AB$20/AB$21)))*AB32</f>
        <v>0</v>
      </c>
      <c r="AC36" s="193">
        <f>Z5*AC32*(MAX(0,MIN(PI()/4,ATAN((AA$20/AA$21*Z26-E$12/2)/IF(Z5=0,0.000001,Z5))))-MAX(0,MIN(PI()/4,ATAN((AB$20/AB$21*Z26-E$12/2)/IF(Z5=0,0.000001,Z5)))))</f>
        <v>0</v>
      </c>
      <c r="AD36" s="192">
        <f>AD32*(IF(OR(AE5=AA5,AE5=AC5),Z5*(MAX(0,MIN(PI()/4,ATAN((AB$21/AB$20*Y26-E$13/2)/IF(Z5=0,0.000001,Z5))))-MAX(0,MIN(PI()/4,ATAN((AA$21/AA$20*Y26-E$13/2)/IF(Z5=0,0.000001,Z5))))),MAX(0,MIN(E$15,AB$21/AB$20*Y26-E$13/2))-MAX(0,MIN(E$15,AA$21/AA$20*Y26-E$13/2))))</f>
        <v>0</v>
      </c>
      <c r="AE36" s="191">
        <f>AE32*(MIN(E$13/2+MIN(E$15,0),MAX(-E$13/2,MAX(AB$21/AB$20,AC$21/AC$20)*Y26))-MIN(E$13/2+MIN(E$15,0),MAX(-E$13/2,MIN(Z$21/Z$20,AA$21/AA$20)*Y26)))</f>
        <v>0</v>
      </c>
      <c r="AF36" s="195">
        <f>Z5*AF32*(MAX(0,MIN(PI()/4,ATAN((Z$21/Z$20*-Y26-E$13/2)/IF(Z5=0,0.000001,Z5))))-MAX(0,MIN(PI()/4,ATAN((AC$21/AC$20*-Y26-E$13/2)/IF(Z5=0,0.000001,Z5)))))</f>
        <v>0</v>
      </c>
      <c r="AG36" s="195">
        <f>Z5*AG32*(MAX(0,MIN(PI()/4,ATAN((AC$20/AC$21*-Z26-E$12/2)/IF(Z5=0,0.000001,Z5))))-MAX(0,MIN(PI()/4,ATAN((Z$20/Z$21*-Z26-E$12/2)/IF(Z5=0,0.000001,Z5)))))</f>
        <v>0</v>
      </c>
      <c r="AH36" s="191">
        <f>AH32*(MIN(E$12/2,MAX(-E$12/2-MIN(E$14,0),MAX(-AA$20/AA$21,-AC$20/AC$21)*Z26))-MIN(E$12/2,MAX(-E$12/2-MIN(E$14,0),MIN(-Z$20/Z$21,-AB$20/AB$21)*Z26)))</f>
        <v>0</v>
      </c>
      <c r="AI36" s="192">
        <f>AI32*(IF(OR(AE5=AA5,AE5=AB5),Z5*(MAX(0,MIN(PI()/4,ATAN((AB$20/AB$21*Z26-E$12/2)/IF(Z5=0,0.000001,Z5))))-MAX(0,MIN(PI()/4,ATAN((AA$20/AA$21*Z26-E$12/2)/IF(Z5=0,0.000001,Z5))))),MAX(0,MIN(E$14,AB$20/AB$21*Z26-E$12/2))-MAX(0,MIN(E$14,AA$20/AA$21*Z26-E$12/2))))</f>
        <v>0</v>
      </c>
      <c r="AJ36" s="193">
        <f>Z5*AJ32*(MAX(0,MIN(PI()/4,ATAN((AA$21/AA$20*Y26-E$13/2)/IF(Z5=0,0.000001,Z5))))-MAX(0,MIN(PI()/4,ATAN((AB$21/AB$20*Y26-E$13/2)/IF(Z5=0,0.000001,Z5)))))</f>
        <v>0</v>
      </c>
    </row>
    <row r="37" spans="1:36" ht="18">
      <c r="A37" s="226"/>
      <c r="B37" s="495" t="s">
        <v>161</v>
      </c>
      <c r="C37" s="257"/>
      <c r="D37" s="257"/>
      <c r="E37" s="257"/>
      <c r="F37" s="257"/>
      <c r="G37" s="257"/>
      <c r="H37" s="324" t="s">
        <v>240</v>
      </c>
      <c r="I37" s="20"/>
      <c r="J37" s="20"/>
      <c r="K37" s="257"/>
      <c r="L37" s="281"/>
      <c r="M37" s="619"/>
      <c r="N37" s="620"/>
      <c r="O37" s="546">
        <f>IF(M25="√",0,1)</f>
        <v>0</v>
      </c>
      <c r="P37" s="706" t="str">
        <f>IF(O37=1,"V max. ","")</f>
        <v/>
      </c>
      <c r="Q37" s="2"/>
      <c r="R37" s="2"/>
      <c r="S37" s="2"/>
      <c r="T37" s="2"/>
      <c r="U37" s="2"/>
      <c r="V37" s="2"/>
      <c r="W37" s="2"/>
      <c r="X37" s="2"/>
      <c r="Y37" s="199">
        <f>Y27*(MIN(AB27,AC$22)-MAX(-AB27,Z$22))*Y33</f>
        <v>0</v>
      </c>
      <c r="Z37" s="198">
        <f>Z6*Z33*(MAX(0,MIN(PI()/4,ATAN((AC$21/AC$20*-Y27-E$13/2)/IF(Z6=0,0.000001,Z6))))-MAX(0,MIN(PI()/4,ATAN((Z$21/Z$20*-Y27-E$13/2)/IF(Z6=0,0.000001,Z6)))))</f>
        <v>0</v>
      </c>
      <c r="AA37" s="198">
        <f>Z6*AA33*(MAX(0,MIN(PI()/4,ATAN((Z$20/Z$21*-Z27-E$12/2)/IF(Z6=0,0.000001,Z6))))-MAX(0,MIN(PI()/4,ATAN((AC$20/AC$21*-Z27-E$12/2)/IF(Z6=0,0.000001,Z6)))))</f>
        <v>0</v>
      </c>
      <c r="AB37" s="199">
        <f>Z27*(MIN(AA27,MAX(AA$20/AA$21,AC$20/AC$21))-MAX(-AA27,MIN(Z$20/Z$21,AB$20/AB$21)))*AB33</f>
        <v>0</v>
      </c>
      <c r="AC37" s="198">
        <f>Z6*AC33*(MAX(0,MIN(PI()/4,ATAN((AA$20/AA$21*Z27-E$12/2)/IF(Z6=0,0.000001,Z6))))-MAX(0,MIN(PI()/4,ATAN((AB$20/AB$21*Z27-E$12/2)/IF(Z6=0,0.000001,Z6)))))</f>
        <v>0</v>
      </c>
      <c r="AD37" s="197">
        <f>AD33*(IF(OR(AE6=AA6,AE6=AC6),Z6*(MAX(0,MIN(PI()/4,ATAN((AB$21/AB$20*Y27-E$13/2)/IF(Z6=0,0.000001,Z6))))-MAX(0,MIN(PI()/4,ATAN((AA$21/AA$20*Y27-E$13/2)/IF(Z6=0,0.000001,Z6))))),MAX(0,MIN(E$15,AB$21/AB$20*Y27-E$13/2))-MAX(0,MIN(E$15,AA$21/AA$20*Y27-E$13/2))))</f>
        <v>0</v>
      </c>
      <c r="AE37" s="196">
        <f>AE33*(MIN(E$13/2+MIN(E$15,0),MAX(-E$13/2,MAX(AB$21/AB$20,AC$21/AC$20)*Y27))-MIN(E$13/2+MIN(E$15,0),MAX(-E$13/2,MIN(Z$21/Z$20,AA$21/AA$20)*Y27)))</f>
        <v>0</v>
      </c>
      <c r="AF37" s="200">
        <f>Z6*AF33*(MAX(0,MIN(PI()/4,ATAN((Z$21/Z$20*-Y27-E$13/2)/IF(Z6=0,0.000001,Z6))))-MAX(0,MIN(PI()/4,ATAN((AC$21/AC$20*-Y27-E$13/2)/IF(Z6=0,0.000001,Z6)))))</f>
        <v>0</v>
      </c>
      <c r="AG37" s="200">
        <f>Z6*AG33*(MAX(0,MIN(PI()/4,ATAN((AC$20/AC$21*-Z27-E$12/2)/IF(Z6=0,0.000001,Z6))))-MAX(0,MIN(PI()/4,ATAN((Z$20/Z$21*-Z27-E$12/2)/IF(Z6=0,0.000001,Z6)))))</f>
        <v>0</v>
      </c>
      <c r="AH37" s="196">
        <f>AH33*(MIN(E$12/2,MAX(-E$12/2-MIN(E$14,0),MAX(-AA$20/AA$21,-AC$20/AC$21)*Z27))-MIN(E$12/2,MAX(-E$12/2-MIN(E$14,0),MIN(-Z$20/Z$21,-AB$20/AB$21)*Z27)))</f>
        <v>0</v>
      </c>
      <c r="AI37" s="197">
        <f>AI33*(IF(OR(AE6=AA6,AE6=AB6),Z6*(MAX(0,MIN(PI()/4,ATAN((AB$20/AB$21*Z27-E$12/2)/IF(Z6=0,0.000001,Z6))))-MAX(0,MIN(PI()/4,ATAN((AA$20/AA$21*Z27-E$12/2)/IF(Z6=0,0.000001,Z6))))),MAX(0,MIN(E$14,AB$20/AB$21*Z27-E$12/2))-MAX(0,MIN(E$14,AA$20/AA$21*Z27-E$12/2))))</f>
        <v>0</v>
      </c>
      <c r="AJ37" s="198">
        <f>Z6*AJ33*(MAX(0,MIN(PI()/4,ATAN((AA$21/AA$20*Y27-E$13/2)/IF(Z6=0,0.000001,Z6))))-MAX(0,MIN(PI()/4,ATAN((AB$21/AB$20*Y27-E$13/2)/IF(Z6=0,0.000001,Z6)))))</f>
        <v>0</v>
      </c>
    </row>
    <row r="38" spans="1:36" ht="16.5" thickBot="1">
      <c r="A38" s="226"/>
      <c r="B38" s="496" t="s">
        <v>146</v>
      </c>
      <c r="C38" s="296"/>
      <c r="D38" s="296"/>
      <c r="E38" s="296"/>
      <c r="F38" s="296"/>
      <c r="G38" s="296"/>
      <c r="H38" s="296"/>
      <c r="I38" s="296"/>
      <c r="J38" s="296"/>
      <c r="K38" s="296"/>
      <c r="L38" s="297"/>
      <c r="M38" s="238"/>
      <c r="N38" s="233"/>
      <c r="O38" s="546">
        <f>IF(P28+S28+V28=0,1,0)</f>
        <v>0</v>
      </c>
      <c r="P38" s="706" t="str">
        <f>IF(O38=1,"&gt; "&amp;W8&amp;" spurs ","")</f>
        <v/>
      </c>
      <c r="Q38" s="2"/>
      <c r="R38" s="2"/>
      <c r="S38" s="2"/>
      <c r="T38" s="2"/>
      <c r="U38" s="2"/>
      <c r="V38" s="2"/>
      <c r="W38" s="2"/>
      <c r="X38" s="2"/>
      <c r="Y38" s="2"/>
      <c r="Z38" s="2"/>
      <c r="AA38" s="2"/>
      <c r="AB38" s="2"/>
      <c r="AC38" s="2"/>
      <c r="AD38" s="2"/>
      <c r="AE38" s="2"/>
    </row>
    <row r="39" spans="1:36" ht="16.5" thickBot="1">
      <c r="A39" s="83"/>
      <c r="B39" s="83"/>
      <c r="C39" s="77"/>
      <c r="D39" s="77"/>
      <c r="E39" s="83"/>
      <c r="F39" s="83"/>
      <c r="G39" s="83"/>
      <c r="H39" s="83"/>
      <c r="I39" s="83"/>
      <c r="J39" s="83"/>
      <c r="K39" s="83"/>
      <c r="L39" s="83"/>
      <c r="M39" s="233"/>
      <c r="N39" s="233"/>
      <c r="O39" s="546">
        <f>IF(M19="√",0,1)</f>
        <v>0</v>
      </c>
      <c r="P39" s="706" t="str">
        <f>IF(O39=1,"geometry ","")</f>
        <v/>
      </c>
      <c r="Q39" s="2"/>
      <c r="R39" s="2"/>
      <c r="S39" s="2"/>
      <c r="T39" s="2"/>
      <c r="U39" s="2"/>
      <c r="V39" s="2"/>
      <c r="W39" s="2"/>
      <c r="X39" s="2"/>
      <c r="Y39" s="2"/>
      <c r="Z39" s="2"/>
      <c r="AA39" s="2"/>
      <c r="AB39" s="2"/>
      <c r="AC39" s="2"/>
      <c r="AD39" s="2"/>
      <c r="AE39" s="2"/>
    </row>
    <row r="40" spans="1:36" ht="18">
      <c r="B40" s="520" t="s">
        <v>299</v>
      </c>
      <c r="C40" s="521"/>
      <c r="D40" s="522"/>
      <c r="E40" s="521"/>
      <c r="F40" s="522"/>
      <c r="G40" s="521"/>
      <c r="H40" s="534"/>
      <c r="I40" s="523"/>
      <c r="J40" s="524"/>
      <c r="O40" s="547">
        <f>IF(K25&gt;1,1,0)</f>
        <v>0</v>
      </c>
      <c r="P40" s="707" t="str">
        <f>IF(O40=1,"VEd/VRdc &gt; "&amp;Refs!D13,"")</f>
        <v/>
      </c>
      <c r="Q40" s="2"/>
      <c r="R40" s="2"/>
      <c r="S40" s="2"/>
      <c r="T40" s="2"/>
      <c r="U40" s="2"/>
      <c r="V40" s="2"/>
      <c r="W40" s="2"/>
      <c r="X40" s="2"/>
      <c r="Y40" s="2"/>
      <c r="Z40" s="2"/>
      <c r="AA40" s="2"/>
      <c r="AB40" s="2"/>
      <c r="AC40" s="2"/>
      <c r="AD40" s="2"/>
      <c r="AE40" s="2"/>
    </row>
    <row r="41" spans="1:36" ht="20.25" thickBot="1">
      <c r="B41" s="539" t="s">
        <v>322</v>
      </c>
      <c r="C41" s="529" t="s">
        <v>318</v>
      </c>
      <c r="D41" s="530">
        <f>PI()*G22+E12+E13</f>
        <v>2083.1857593448867</v>
      </c>
      <c r="E41" s="529" t="s">
        <v>317</v>
      </c>
      <c r="F41" s="530">
        <f>PI()*G22+MIN(1.5*G22,E12/2,(E12+E14)/2)+MIN(1.5*G22,E13/2,(E13+E15)/2)</f>
        <v>1520.6857593448869</v>
      </c>
      <c r="G41" s="529" t="s">
        <v>319</v>
      </c>
      <c r="H41" s="540">
        <f>D41/F41</f>
        <v>1.3698989068210419</v>
      </c>
      <c r="I41" s="531" t="s">
        <v>325</v>
      </c>
      <c r="J41" s="543"/>
      <c r="O41" s="12">
        <f>SUM(O37:O40)</f>
        <v>0</v>
      </c>
      <c r="P41" s="2"/>
      <c r="Q41" s="2"/>
      <c r="R41" s="2"/>
      <c r="S41" s="2"/>
      <c r="T41" s="2"/>
      <c r="U41" s="2"/>
      <c r="V41" s="2"/>
      <c r="W41" s="2"/>
      <c r="X41" s="2"/>
      <c r="Y41" s="2"/>
      <c r="Z41" s="2"/>
      <c r="AA41" s="2"/>
      <c r="AB41" s="2"/>
      <c r="AC41" s="2"/>
      <c r="AD41" s="2"/>
      <c r="AE41" s="2"/>
    </row>
    <row r="42" spans="1:36">
      <c r="V42" s="2"/>
      <c r="W42" s="2"/>
      <c r="X42" s="2"/>
      <c r="Y42" s="2"/>
      <c r="Z42" s="2"/>
      <c r="AA42" s="2"/>
      <c r="AB42" s="2"/>
      <c r="AC42" s="2"/>
      <c r="AD42" s="2"/>
      <c r="AE42" s="2"/>
    </row>
    <row r="43" spans="1:36" ht="16.5" customHeight="1">
      <c r="O43" s="239" t="s">
        <v>389</v>
      </c>
      <c r="P43" s="50"/>
      <c r="Q43" s="50"/>
      <c r="R43" s="50"/>
      <c r="S43" s="709" t="s">
        <v>395</v>
      </c>
      <c r="T43" s="709"/>
      <c r="U43" s="2"/>
      <c r="Y43" s="2"/>
      <c r="Z43" s="2"/>
      <c r="AA43" s="2"/>
      <c r="AB43" s="2"/>
      <c r="AC43" s="2"/>
      <c r="AD43" s="2"/>
      <c r="AE43" s="2"/>
    </row>
    <row r="44" spans="1:36" ht="16.5" customHeight="1">
      <c r="F44" s="19"/>
      <c r="O44" s="630">
        <f>IF(OR(O54=S54,Q54=S54),O50,P50)</f>
        <v>0</v>
      </c>
      <c r="P44" s="631">
        <v>0</v>
      </c>
      <c r="Q44" s="631">
        <f>IF(OR(O54=T54,Q54=T54),O50,P50)</f>
        <v>0</v>
      </c>
      <c r="R44" s="710" t="s">
        <v>390</v>
      </c>
      <c r="S44" s="643" t="s">
        <v>394</v>
      </c>
      <c r="T44" s="644" t="s">
        <v>393</v>
      </c>
      <c r="Y44" s="2"/>
      <c r="Z44" s="2"/>
      <c r="AA44" s="2"/>
      <c r="AB44" s="2"/>
      <c r="AC44" s="2"/>
      <c r="AD44" s="2"/>
      <c r="AE44" s="2"/>
    </row>
    <row r="45" spans="1:36" ht="16.5" customHeight="1">
      <c r="O45" s="633">
        <f>IF(OR(O54=S54,P54=S54),O51,Q51)</f>
        <v>0</v>
      </c>
      <c r="P45" s="634">
        <v>0</v>
      </c>
      <c r="Q45" s="634">
        <f>IF(OR(O54=T54,P54=T54),O51,Q51)</f>
        <v>0</v>
      </c>
      <c r="R45" s="711"/>
      <c r="S45" s="645">
        <f>(E$12+2*Z3)/E$13</f>
        <v>9.4222222222222225</v>
      </c>
      <c r="T45" s="646">
        <f>(E$13+2*Z3)/E$12</f>
        <v>1.6055555555555556</v>
      </c>
      <c r="X45" s="3"/>
      <c r="Y45" s="2"/>
      <c r="Z45" s="2"/>
      <c r="AA45" s="2"/>
      <c r="AB45" s="2"/>
      <c r="AC45" s="2"/>
      <c r="AD45" s="2"/>
      <c r="AE45" s="2"/>
    </row>
    <row r="46" spans="1:36" ht="16.5" customHeight="1">
      <c r="O46" s="639">
        <f>MAX(0.000001,IF(O45=0,0,ABS(O44/O45)))</f>
        <v>9.9999999999999995E-7</v>
      </c>
      <c r="P46" s="640"/>
      <c r="Q46" s="641">
        <f>MAX(0.000001,IF(Q45=0,0,ABS(Q44/Q45)))</f>
        <v>9.9999999999999995E-7</v>
      </c>
      <c r="R46" s="642" t="s">
        <v>392</v>
      </c>
      <c r="S46" s="645">
        <f>(E$12+2*Z4)/E$13</f>
        <v>6.1829732004552929</v>
      </c>
      <c r="T46" s="646">
        <f>(E$13+2*Z4)/E$12</f>
        <v>0.79574330011382322</v>
      </c>
      <c r="V46" s="3"/>
      <c r="W46" s="3"/>
      <c r="Y46" s="2"/>
      <c r="Z46" s="2"/>
      <c r="AA46" s="2"/>
      <c r="AB46" s="2"/>
      <c r="AC46" s="2"/>
      <c r="AD46" s="2"/>
      <c r="AE46" s="2"/>
    </row>
    <row r="47" spans="1:36" ht="18" customHeight="1">
      <c r="O47" s="633">
        <f t="shared" ref="O47:Q48" si="0">$E12/2+O44</f>
        <v>450</v>
      </c>
      <c r="P47" s="634">
        <f t="shared" si="0"/>
        <v>450</v>
      </c>
      <c r="Q47" s="635">
        <f t="shared" si="0"/>
        <v>450</v>
      </c>
      <c r="R47" s="710" t="s">
        <v>391</v>
      </c>
      <c r="S47" s="645">
        <f>(E$12+2*Z5)/E$13</f>
        <v>4.0000000000000089</v>
      </c>
      <c r="T47" s="646">
        <f>(E$13+2*Z5)/E$12</f>
        <v>0.25000000000000222</v>
      </c>
      <c r="U47" s="3"/>
      <c r="V47" s="2"/>
      <c r="W47" s="2"/>
      <c r="X47" s="2"/>
      <c r="Y47" s="2"/>
      <c r="Z47" s="2"/>
      <c r="AA47" s="2"/>
      <c r="AB47" s="2"/>
      <c r="AC47" s="2"/>
      <c r="AD47" s="2"/>
      <c r="AE47" s="2"/>
    </row>
    <row r="48" spans="1:36" ht="18" customHeight="1">
      <c r="O48" s="636">
        <f t="shared" si="0"/>
        <v>112.5</v>
      </c>
      <c r="P48" s="637">
        <f t="shared" si="0"/>
        <v>112.5</v>
      </c>
      <c r="Q48" s="638">
        <f t="shared" si="0"/>
        <v>112.5</v>
      </c>
      <c r="R48" s="711"/>
      <c r="S48" s="647">
        <f>(E$12+2*Z6)/E$13</f>
        <v>4</v>
      </c>
      <c r="T48" s="648">
        <f>(E$13+2*Z6)/E$12</f>
        <v>0.25</v>
      </c>
      <c r="U48" s="2"/>
      <c r="V48" s="2"/>
      <c r="W48" s="2"/>
      <c r="X48" s="2"/>
      <c r="Y48" s="2"/>
      <c r="Z48" s="2"/>
      <c r="AA48" s="2"/>
      <c r="AB48" s="2"/>
      <c r="AC48" s="2"/>
      <c r="AD48" s="2"/>
      <c r="AE48" s="2"/>
    </row>
    <row r="49" spans="15:31">
      <c r="O49" s="153" t="s">
        <v>181</v>
      </c>
      <c r="P49" s="154" t="s">
        <v>182</v>
      </c>
      <c r="Q49" s="154" t="s">
        <v>183</v>
      </c>
      <c r="R49" s="155" t="s">
        <v>184</v>
      </c>
      <c r="S49" s="2"/>
      <c r="T49" s="2"/>
      <c r="U49" s="2"/>
      <c r="V49" s="2"/>
      <c r="W49" s="2"/>
      <c r="X49" s="2"/>
      <c r="Y49" s="2"/>
      <c r="Z49" s="2"/>
      <c r="AA49" s="2"/>
      <c r="AB49" s="2"/>
      <c r="AC49" s="2"/>
      <c r="AD49" s="2"/>
      <c r="AE49" s="2"/>
    </row>
    <row r="50" spans="15:31">
      <c r="O50" s="71">
        <f>H12</f>
        <v>0</v>
      </c>
      <c r="P50" s="67">
        <f>O50+H15</f>
        <v>0</v>
      </c>
      <c r="Q50" s="67">
        <f>O50</f>
        <v>0</v>
      </c>
      <c r="R50" s="68">
        <f>P50</f>
        <v>0</v>
      </c>
      <c r="S50" s="2"/>
      <c r="T50" s="2"/>
      <c r="U50" s="2"/>
      <c r="V50" s="2"/>
      <c r="W50" s="2"/>
      <c r="X50" s="2"/>
      <c r="Y50" s="2"/>
      <c r="Z50" s="2"/>
      <c r="AA50" s="2"/>
      <c r="AB50" s="2"/>
      <c r="AC50" s="2"/>
      <c r="AD50" s="2"/>
      <c r="AE50" s="2"/>
    </row>
    <row r="51" spans="15:31">
      <c r="O51" s="72">
        <f>H13</f>
        <v>0</v>
      </c>
      <c r="P51" s="69">
        <f>O51</f>
        <v>0</v>
      </c>
      <c r="Q51" s="69">
        <f>O51+H14</f>
        <v>0</v>
      </c>
      <c r="R51" s="70">
        <f>Q51</f>
        <v>0</v>
      </c>
      <c r="S51" s="654" t="s">
        <v>396</v>
      </c>
      <c r="T51" s="654" t="s">
        <v>397</v>
      </c>
      <c r="U51" s="2"/>
      <c r="V51" s="2"/>
      <c r="W51" s="2"/>
      <c r="X51" s="2"/>
      <c r="Y51" s="2"/>
      <c r="Z51" s="2"/>
      <c r="AA51" s="2"/>
      <c r="AB51" s="2"/>
      <c r="AC51" s="2"/>
      <c r="AD51" s="2"/>
      <c r="AE51" s="2"/>
    </row>
    <row r="52" spans="15:31">
      <c r="O52" s="657">
        <f>IF(O51=0,0,O50/O51)</f>
        <v>0</v>
      </c>
      <c r="P52" s="658">
        <f>IF(P51=0,0,P50/P51)</f>
        <v>0</v>
      </c>
      <c r="Q52" s="658">
        <f>IF(Q51=0,0,Q50/Q51)</f>
        <v>0</v>
      </c>
      <c r="R52" s="659">
        <f>IF(R51=0,0,R50/R51)</f>
        <v>0</v>
      </c>
      <c r="S52" s="655">
        <f>MIN(O52:R52)</f>
        <v>0</v>
      </c>
      <c r="T52" s="655">
        <f>MAX(O52:R52)</f>
        <v>0</v>
      </c>
      <c r="V52" s="2"/>
      <c r="W52" s="2"/>
      <c r="X52" s="2"/>
      <c r="Y52" s="2"/>
      <c r="Z52" s="2"/>
      <c r="AA52" s="2"/>
      <c r="AB52" s="2"/>
      <c r="AC52" s="2"/>
      <c r="AD52" s="2"/>
      <c r="AE52" s="2"/>
    </row>
    <row r="53" spans="15:31">
      <c r="O53" s="660">
        <f>IF(O50=0,0,O51/O50)</f>
        <v>0</v>
      </c>
      <c r="P53" s="661">
        <f>IF(P50=0,0,P51/P50)</f>
        <v>0</v>
      </c>
      <c r="Q53" s="661">
        <f>IF(Q50=0,0,Q51/Q50)</f>
        <v>0</v>
      </c>
      <c r="R53" s="662">
        <f>IF(R50=0,0,R51/R50)</f>
        <v>0</v>
      </c>
      <c r="S53" s="655">
        <f>MIN(O53:R53)</f>
        <v>0</v>
      </c>
      <c r="T53" s="655">
        <f>MAX(O53:R53)</f>
        <v>0</v>
      </c>
      <c r="V53" s="2"/>
      <c r="W53" s="2"/>
      <c r="X53" s="2"/>
      <c r="Y53" s="2"/>
      <c r="Z53" s="2"/>
      <c r="AA53" s="2"/>
      <c r="AB53" s="2"/>
      <c r="AC53" s="2"/>
      <c r="AD53" s="2"/>
      <c r="AE53" s="2"/>
    </row>
    <row r="54" spans="15:31">
      <c r="O54" s="639">
        <f t="shared" ref="O54:T54" si="1">IF($R55&gt;0,O53,O52)</f>
        <v>0</v>
      </c>
      <c r="P54" s="641">
        <f t="shared" si="1"/>
        <v>0</v>
      </c>
      <c r="Q54" s="641">
        <f t="shared" si="1"/>
        <v>0</v>
      </c>
      <c r="R54" s="653">
        <f t="shared" si="1"/>
        <v>0</v>
      </c>
      <c r="S54" s="663">
        <f t="shared" si="1"/>
        <v>0</v>
      </c>
      <c r="T54" s="663">
        <f t="shared" si="1"/>
        <v>0</v>
      </c>
      <c r="U54" s="134" t="s">
        <v>400</v>
      </c>
      <c r="V54" s="2"/>
      <c r="W54" s="2"/>
      <c r="X54" s="2"/>
      <c r="Y54" s="2"/>
      <c r="Z54" s="2"/>
      <c r="AA54" s="2"/>
      <c r="AB54" s="2"/>
      <c r="AC54" s="2"/>
      <c r="AD54" s="2"/>
      <c r="AE54" s="2"/>
    </row>
    <row r="55" spans="15:31" ht="15.75">
      <c r="O55" s="212" t="s">
        <v>398</v>
      </c>
      <c r="P55" s="652">
        <f>IF(H12&gt;0,1,0)</f>
        <v>0</v>
      </c>
      <c r="Q55" s="133" t="s">
        <v>399</v>
      </c>
      <c r="R55" s="19">
        <f>IF(H12&lt;-H15,1,0)</f>
        <v>0</v>
      </c>
      <c r="S55" s="656">
        <f>P55+R55</f>
        <v>0</v>
      </c>
      <c r="V55" s="2"/>
      <c r="W55" s="2"/>
      <c r="X55" s="2"/>
      <c r="Y55" s="2"/>
      <c r="Z55" s="2"/>
      <c r="AA55" s="2"/>
      <c r="AB55" s="2"/>
      <c r="AC55" s="2"/>
      <c r="AD55" s="2"/>
      <c r="AE55" s="2"/>
    </row>
    <row r="56" spans="15:31">
      <c r="O56" s="2"/>
      <c r="P56" s="2"/>
      <c r="Q56" s="2"/>
      <c r="R56" s="2"/>
      <c r="S56" s="2"/>
      <c r="T56" s="2"/>
      <c r="U56" s="2"/>
      <c r="V56" s="2"/>
      <c r="W56" s="2"/>
      <c r="X56" s="2"/>
      <c r="Y56" s="2"/>
      <c r="Z56" s="2"/>
      <c r="AA56" s="2"/>
      <c r="AB56" s="2"/>
      <c r="AC56" s="2"/>
      <c r="AD56" s="2"/>
      <c r="AE56" s="2"/>
    </row>
    <row r="57" spans="15:31">
      <c r="O57" s="2"/>
      <c r="P57" s="2"/>
      <c r="Q57" s="2"/>
      <c r="R57" s="2"/>
      <c r="S57" s="2"/>
      <c r="T57" s="2"/>
      <c r="U57" s="2"/>
      <c r="V57" s="2"/>
      <c r="W57" s="2"/>
      <c r="X57" s="2"/>
      <c r="Y57" s="2"/>
      <c r="Z57" s="2"/>
      <c r="AA57" s="2"/>
      <c r="AB57" s="2"/>
      <c r="AC57" s="2"/>
      <c r="AD57" s="2"/>
      <c r="AE57" s="2"/>
    </row>
    <row r="58" spans="15:31">
      <c r="O58" s="2"/>
      <c r="P58" s="2"/>
      <c r="Q58" s="2"/>
      <c r="R58" s="2"/>
      <c r="S58" s="2"/>
      <c r="T58" s="2"/>
      <c r="U58" s="2"/>
      <c r="V58" s="2"/>
      <c r="W58" s="2"/>
      <c r="X58" s="2"/>
      <c r="Y58" s="2"/>
      <c r="Z58" s="2"/>
      <c r="AA58" s="2"/>
      <c r="AB58" s="2"/>
      <c r="AC58" s="2"/>
      <c r="AD58" s="2"/>
      <c r="AE58" s="2"/>
    </row>
    <row r="59" spans="15:31">
      <c r="O59" s="2"/>
      <c r="P59" s="2"/>
      <c r="Q59" s="2"/>
      <c r="R59" s="2"/>
      <c r="S59" s="2"/>
      <c r="T59" s="2"/>
      <c r="U59" s="2"/>
      <c r="V59" s="2"/>
      <c r="W59" s="2"/>
      <c r="X59" s="2"/>
      <c r="Y59" s="2"/>
      <c r="Z59" s="2"/>
      <c r="AA59" s="2"/>
      <c r="AB59" s="2"/>
      <c r="AC59" s="2"/>
      <c r="AD59" s="2"/>
      <c r="AE59" s="2"/>
    </row>
    <row r="60" spans="15:31">
      <c r="O60" s="2"/>
      <c r="P60" s="2"/>
      <c r="Q60" s="2"/>
      <c r="R60" s="2"/>
      <c r="S60" s="2"/>
      <c r="T60" s="2"/>
      <c r="U60" s="2"/>
      <c r="V60" s="2"/>
      <c r="W60" s="2"/>
      <c r="X60" s="2"/>
      <c r="Y60" s="2"/>
      <c r="Z60" s="2"/>
      <c r="AA60" s="2"/>
      <c r="AB60" s="2"/>
      <c r="AC60" s="2"/>
      <c r="AD60" s="2"/>
      <c r="AE60" s="2"/>
    </row>
    <row r="61" spans="15:31">
      <c r="O61" s="2"/>
      <c r="P61" s="2"/>
      <c r="Q61" s="2"/>
      <c r="R61" s="2"/>
      <c r="S61" s="2"/>
      <c r="T61" s="2"/>
      <c r="U61" s="2"/>
      <c r="V61" s="2"/>
      <c r="W61" s="2"/>
      <c r="X61" s="2"/>
      <c r="Y61" s="2"/>
      <c r="Z61" s="2"/>
      <c r="AA61" s="2"/>
      <c r="AB61" s="2"/>
      <c r="AC61" s="2"/>
      <c r="AD61" s="2"/>
      <c r="AE61" s="2"/>
    </row>
    <row r="62" spans="15:31">
      <c r="O62" s="2"/>
      <c r="P62" s="2"/>
      <c r="Q62" s="2"/>
      <c r="R62" s="2"/>
      <c r="S62" s="2"/>
      <c r="T62" s="2"/>
      <c r="U62" s="2"/>
      <c r="V62" s="2"/>
      <c r="W62" s="2"/>
      <c r="X62" s="2"/>
      <c r="Y62" s="2"/>
      <c r="Z62" s="2"/>
      <c r="AA62" s="2"/>
      <c r="AB62" s="2"/>
      <c r="AC62" s="2"/>
      <c r="AD62" s="2"/>
      <c r="AE62" s="2"/>
    </row>
    <row r="63" spans="15:31">
      <c r="O63" s="2"/>
      <c r="P63" s="2"/>
      <c r="Q63" s="2"/>
      <c r="R63" s="2"/>
      <c r="S63" s="2"/>
      <c r="T63" s="2"/>
      <c r="U63" s="2"/>
      <c r="V63" s="2"/>
      <c r="W63" s="2"/>
      <c r="X63" s="2"/>
      <c r="Y63" s="2"/>
      <c r="Z63" s="2"/>
      <c r="AA63" s="2"/>
      <c r="AB63" s="2"/>
      <c r="AC63" s="2"/>
      <c r="AD63" s="2"/>
      <c r="AE63" s="2"/>
    </row>
    <row r="64" spans="15:31">
      <c r="O64" s="2"/>
      <c r="P64" s="2"/>
      <c r="Q64" s="2"/>
      <c r="R64" s="2"/>
      <c r="S64" s="2"/>
      <c r="T64" s="2"/>
      <c r="U64" s="2"/>
      <c r="V64" s="2"/>
      <c r="W64" s="2"/>
      <c r="X64" s="2"/>
      <c r="Y64" s="2"/>
      <c r="Z64" s="2"/>
      <c r="AA64" s="2"/>
      <c r="AB64" s="2"/>
      <c r="AC64" s="2"/>
      <c r="AD64" s="2"/>
      <c r="AE64" s="2"/>
    </row>
    <row r="65" spans="15:31">
      <c r="O65" s="2"/>
      <c r="P65" s="2"/>
      <c r="Q65" s="2"/>
      <c r="R65" s="2"/>
      <c r="S65" s="2"/>
      <c r="T65" s="2"/>
      <c r="U65" s="2"/>
      <c r="V65" s="2"/>
      <c r="W65" s="2"/>
      <c r="X65" s="2"/>
      <c r="Y65" s="2"/>
      <c r="Z65" s="2"/>
      <c r="AA65" s="2"/>
      <c r="AB65" s="2"/>
      <c r="AC65" s="2"/>
      <c r="AD65" s="2"/>
      <c r="AE65" s="2"/>
    </row>
    <row r="66" spans="15:31">
      <c r="O66" s="2"/>
      <c r="P66" s="2"/>
      <c r="Q66" s="2"/>
      <c r="R66" s="2"/>
      <c r="S66" s="2"/>
      <c r="T66" s="2"/>
      <c r="U66" s="2"/>
      <c r="V66" s="2"/>
      <c r="W66" s="2"/>
      <c r="X66" s="2"/>
      <c r="Y66" s="2"/>
      <c r="Z66" s="2"/>
      <c r="AA66" s="2"/>
      <c r="AB66" s="2"/>
      <c r="AC66" s="2"/>
      <c r="AD66" s="2"/>
      <c r="AE66" s="2"/>
    </row>
    <row r="67" spans="15:31">
      <c r="O67" s="2"/>
      <c r="P67" s="2"/>
      <c r="Q67" s="2"/>
      <c r="R67" s="2"/>
      <c r="S67" s="2"/>
      <c r="T67" s="2"/>
      <c r="U67" s="2"/>
      <c r="V67" s="2"/>
      <c r="W67" s="2"/>
      <c r="X67" s="2"/>
      <c r="Y67" s="2"/>
      <c r="Z67" s="2"/>
      <c r="AA67" s="2"/>
      <c r="AB67" s="2"/>
      <c r="AC67" s="2"/>
      <c r="AD67" s="2"/>
      <c r="AE67" s="2"/>
    </row>
    <row r="68" spans="15:31">
      <c r="O68" s="2"/>
      <c r="P68" s="2"/>
      <c r="Q68" s="2"/>
      <c r="R68" s="2"/>
      <c r="S68" s="2"/>
      <c r="T68" s="2"/>
      <c r="U68" s="2"/>
      <c r="V68" s="2"/>
      <c r="W68" s="2"/>
      <c r="X68" s="2"/>
      <c r="Y68" s="2"/>
      <c r="Z68" s="2"/>
      <c r="AA68" s="2"/>
      <c r="AB68" s="2"/>
      <c r="AC68" s="2"/>
      <c r="AD68" s="2"/>
      <c r="AE68" s="2"/>
    </row>
    <row r="69" spans="15:31">
      <c r="O69" s="2"/>
      <c r="P69" s="2"/>
      <c r="Q69" s="2"/>
      <c r="R69" s="2"/>
      <c r="S69" s="2"/>
      <c r="T69" s="2"/>
      <c r="U69" s="2"/>
      <c r="V69" s="2"/>
      <c r="W69" s="2"/>
      <c r="X69" s="2"/>
      <c r="Y69" s="2"/>
      <c r="Z69" s="2"/>
      <c r="AA69" s="2"/>
      <c r="AB69" s="2"/>
      <c r="AC69" s="2"/>
      <c r="AD69" s="2"/>
      <c r="AE69" s="2"/>
    </row>
    <row r="70" spans="15:31">
      <c r="O70" s="2"/>
      <c r="P70" s="2"/>
      <c r="Q70" s="2"/>
      <c r="R70" s="2"/>
      <c r="S70" s="2"/>
      <c r="T70" s="2"/>
      <c r="U70" s="2"/>
      <c r="V70" s="2"/>
      <c r="W70" s="2"/>
      <c r="X70" s="2"/>
      <c r="Y70" s="2"/>
      <c r="Z70" s="2"/>
      <c r="AA70" s="2"/>
      <c r="AB70" s="2"/>
      <c r="AC70" s="2"/>
      <c r="AD70" s="2"/>
      <c r="AE70" s="2"/>
    </row>
    <row r="71" spans="15:31">
      <c r="O71" s="2"/>
      <c r="P71" s="2"/>
      <c r="Q71" s="2"/>
      <c r="R71" s="2"/>
      <c r="S71" s="2"/>
      <c r="T71" s="2"/>
      <c r="U71" s="2"/>
      <c r="V71" s="2"/>
      <c r="W71" s="2"/>
      <c r="X71" s="2"/>
      <c r="Y71" s="2"/>
      <c r="Z71" s="2"/>
      <c r="AA71" s="2"/>
      <c r="AB71" s="2"/>
      <c r="AC71" s="2"/>
      <c r="AD71" s="2"/>
      <c r="AE71" s="2"/>
    </row>
    <row r="72" spans="15:31">
      <c r="O72" s="2"/>
      <c r="P72" s="2"/>
      <c r="Q72" s="2"/>
      <c r="R72" s="2"/>
      <c r="S72" s="2"/>
      <c r="T72" s="2"/>
      <c r="U72" s="2"/>
      <c r="V72" s="2"/>
      <c r="W72" s="2"/>
      <c r="X72" s="2"/>
      <c r="Y72" s="2"/>
      <c r="Z72" s="2"/>
      <c r="AA72" s="2"/>
      <c r="AB72" s="2"/>
      <c r="AC72" s="2"/>
      <c r="AD72" s="2"/>
      <c r="AE72" s="2"/>
    </row>
    <row r="73" spans="15:31">
      <c r="O73" s="2"/>
      <c r="P73" s="2"/>
      <c r="Q73" s="2"/>
      <c r="R73" s="2"/>
      <c r="S73" s="2"/>
      <c r="T73" s="2"/>
      <c r="U73" s="2"/>
      <c r="V73" s="2"/>
      <c r="W73" s="2"/>
      <c r="X73" s="2"/>
      <c r="Y73" s="2"/>
      <c r="Z73" s="2"/>
      <c r="AA73" s="2"/>
      <c r="AB73" s="2"/>
      <c r="AC73" s="2"/>
      <c r="AD73" s="2"/>
      <c r="AE73" s="2"/>
    </row>
    <row r="74" spans="15:31">
      <c r="O74" s="2"/>
      <c r="P74" s="2"/>
      <c r="Q74" s="2"/>
      <c r="R74" s="2"/>
      <c r="S74" s="2"/>
      <c r="T74" s="2"/>
      <c r="U74" s="2"/>
      <c r="V74" s="2"/>
      <c r="W74" s="2"/>
      <c r="X74" s="2"/>
      <c r="Y74" s="2"/>
      <c r="Z74" s="2"/>
      <c r="AA74" s="2"/>
      <c r="AB74" s="2"/>
      <c r="AC74" s="2"/>
      <c r="AD74" s="2"/>
      <c r="AE74" s="2"/>
    </row>
    <row r="75" spans="15:31">
      <c r="O75" s="2"/>
      <c r="P75" s="2"/>
      <c r="Q75" s="2"/>
      <c r="R75" s="2"/>
      <c r="S75" s="2"/>
      <c r="T75" s="2"/>
      <c r="U75" s="2"/>
      <c r="V75" s="2"/>
      <c r="W75" s="2"/>
      <c r="X75" s="2"/>
      <c r="Y75" s="2"/>
      <c r="Z75" s="2"/>
      <c r="AA75" s="2"/>
      <c r="AB75" s="2"/>
      <c r="AC75" s="2"/>
      <c r="AD75" s="2"/>
      <c r="AE75" s="2"/>
    </row>
    <row r="76" spans="15:31">
      <c r="O76" s="2"/>
      <c r="P76" s="2"/>
      <c r="Q76" s="2"/>
      <c r="R76" s="2"/>
      <c r="S76" s="2"/>
      <c r="T76" s="2"/>
      <c r="U76" s="2"/>
      <c r="V76" s="2"/>
      <c r="W76" s="2"/>
      <c r="X76" s="2"/>
      <c r="Y76" s="2"/>
      <c r="Z76" s="2"/>
      <c r="AA76" s="2"/>
      <c r="AB76" s="2"/>
      <c r="AC76" s="2"/>
      <c r="AD76" s="2"/>
      <c r="AE76" s="2"/>
    </row>
    <row r="77" spans="15:31">
      <c r="O77" s="2"/>
      <c r="P77" s="2"/>
      <c r="Q77" s="2"/>
      <c r="R77" s="2"/>
      <c r="S77" s="2"/>
      <c r="T77" s="2"/>
      <c r="U77" s="2"/>
      <c r="V77" s="2"/>
      <c r="W77" s="2"/>
      <c r="X77" s="2"/>
      <c r="Y77" s="2"/>
      <c r="Z77" s="2"/>
      <c r="AA77" s="2"/>
      <c r="AB77" s="2"/>
      <c r="AC77" s="2"/>
      <c r="AD77" s="2"/>
      <c r="AE77" s="2"/>
    </row>
    <row r="78" spans="15:31">
      <c r="O78" s="2"/>
      <c r="P78" s="2"/>
      <c r="Q78" s="2"/>
      <c r="R78" s="2"/>
      <c r="S78" s="2"/>
      <c r="T78" s="2"/>
      <c r="U78" s="2"/>
      <c r="V78" s="2"/>
      <c r="W78" s="2"/>
      <c r="X78" s="2"/>
      <c r="Y78" s="2"/>
      <c r="Z78" s="2"/>
      <c r="AA78" s="2"/>
      <c r="AB78" s="2"/>
      <c r="AC78" s="2"/>
      <c r="AD78" s="2"/>
      <c r="AE78" s="2"/>
    </row>
    <row r="79" spans="15:31">
      <c r="O79" s="2"/>
      <c r="P79" s="2"/>
      <c r="Q79" s="2"/>
      <c r="R79" s="2"/>
      <c r="S79" s="2"/>
      <c r="T79" s="2"/>
      <c r="U79" s="2"/>
      <c r="V79" s="2"/>
      <c r="W79" s="2"/>
      <c r="X79" s="2"/>
      <c r="Y79" s="2"/>
      <c r="Z79" s="2"/>
      <c r="AA79" s="2"/>
      <c r="AB79" s="2"/>
      <c r="AC79" s="2"/>
      <c r="AD79" s="2"/>
      <c r="AE79" s="2"/>
    </row>
    <row r="80" spans="15:31">
      <c r="O80" s="2"/>
      <c r="P80" s="2"/>
      <c r="Q80" s="2"/>
      <c r="R80" s="2"/>
      <c r="S80" s="2"/>
      <c r="T80" s="2"/>
      <c r="U80" s="2"/>
      <c r="V80" s="2"/>
      <c r="W80" s="2"/>
      <c r="X80" s="2"/>
      <c r="Y80" s="2"/>
      <c r="Z80" s="2"/>
      <c r="AA80" s="2"/>
      <c r="AB80" s="2"/>
      <c r="AC80" s="2"/>
      <c r="AD80" s="2"/>
      <c r="AE80" s="2"/>
    </row>
    <row r="81" spans="15:31">
      <c r="O81" s="2"/>
      <c r="P81" s="2"/>
      <c r="Q81" s="2"/>
      <c r="R81" s="2"/>
      <c r="S81" s="2"/>
      <c r="T81" s="2"/>
      <c r="U81" s="2"/>
      <c r="V81" s="2"/>
      <c r="W81" s="2"/>
      <c r="X81" s="2"/>
      <c r="Y81" s="2"/>
      <c r="Z81" s="2"/>
      <c r="AA81" s="2"/>
      <c r="AB81" s="2"/>
      <c r="AC81" s="2"/>
      <c r="AD81" s="2"/>
      <c r="AE81" s="2"/>
    </row>
    <row r="82" spans="15:31">
      <c r="O82" s="2"/>
      <c r="P82" s="2"/>
      <c r="Q82" s="2"/>
      <c r="R82" s="2"/>
      <c r="S82" s="2"/>
      <c r="T82" s="2"/>
      <c r="U82" s="2"/>
      <c r="V82" s="2"/>
      <c r="W82" s="2"/>
      <c r="X82" s="2"/>
      <c r="Y82" s="2"/>
      <c r="Z82" s="2"/>
      <c r="AA82" s="2"/>
      <c r="AB82" s="2"/>
      <c r="AC82" s="2"/>
      <c r="AD82" s="2"/>
      <c r="AE82" s="2"/>
    </row>
    <row r="83" spans="15:31">
      <c r="O83" s="2"/>
      <c r="P83" s="2"/>
      <c r="Q83" s="2"/>
      <c r="R83" s="2"/>
      <c r="S83" s="2"/>
      <c r="T83" s="2"/>
      <c r="U83" s="2"/>
      <c r="V83" s="2"/>
      <c r="W83" s="2"/>
      <c r="X83" s="2"/>
      <c r="Y83" s="2"/>
      <c r="Z83" s="2"/>
      <c r="AA83" s="2"/>
      <c r="AB83" s="2"/>
      <c r="AC83" s="2"/>
      <c r="AD83" s="2"/>
      <c r="AE83" s="2"/>
    </row>
    <row r="84" spans="15:31">
      <c r="O84" s="2"/>
      <c r="P84" s="2"/>
      <c r="Q84" s="2"/>
      <c r="R84" s="2"/>
      <c r="S84" s="2"/>
      <c r="T84" s="2"/>
      <c r="U84" s="2"/>
      <c r="V84" s="2"/>
      <c r="W84" s="2"/>
      <c r="X84" s="2"/>
      <c r="Y84" s="2"/>
      <c r="Z84" s="2"/>
      <c r="AA84" s="2"/>
      <c r="AB84" s="2"/>
      <c r="AC84" s="2"/>
      <c r="AD84" s="2"/>
      <c r="AE84" s="2"/>
    </row>
    <row r="85" spans="15:31">
      <c r="O85" s="2"/>
      <c r="P85" s="2"/>
      <c r="Q85" s="2"/>
      <c r="R85" s="2"/>
      <c r="S85" s="2"/>
      <c r="T85" s="2"/>
      <c r="U85" s="2"/>
      <c r="V85" s="2"/>
      <c r="W85" s="2"/>
      <c r="X85" s="2"/>
      <c r="Y85" s="2"/>
      <c r="Z85" s="2"/>
      <c r="AA85" s="2"/>
      <c r="AB85" s="2"/>
      <c r="AC85" s="2"/>
      <c r="AD85" s="2"/>
      <c r="AE85" s="2"/>
    </row>
    <row r="86" spans="15:31">
      <c r="O86" s="2"/>
      <c r="P86" s="2"/>
      <c r="Q86" s="2"/>
      <c r="R86" s="2"/>
      <c r="S86" s="2"/>
      <c r="T86" s="2"/>
      <c r="U86" s="2"/>
      <c r="V86" s="2"/>
      <c r="W86" s="2"/>
      <c r="X86" s="2"/>
      <c r="Y86" s="2"/>
      <c r="Z86" s="2"/>
      <c r="AA86" s="2"/>
      <c r="AB86" s="2"/>
      <c r="AC86" s="2"/>
      <c r="AD86" s="2"/>
      <c r="AE86" s="2"/>
    </row>
    <row r="87" spans="15:31">
      <c r="O87" s="2"/>
      <c r="P87" s="2"/>
      <c r="Q87" s="2"/>
      <c r="R87" s="2"/>
      <c r="S87" s="2"/>
      <c r="T87" s="2"/>
      <c r="U87" s="2"/>
      <c r="V87" s="2"/>
      <c r="W87" s="2"/>
      <c r="X87" s="2"/>
      <c r="Y87" s="2"/>
      <c r="Z87" s="2"/>
      <c r="AA87" s="2"/>
      <c r="AB87" s="2"/>
      <c r="AC87" s="2"/>
      <c r="AD87" s="2"/>
      <c r="AE87" s="2"/>
    </row>
    <row r="88" spans="15:31">
      <c r="O88" s="2"/>
      <c r="P88" s="2"/>
      <c r="Q88" s="2"/>
      <c r="R88" s="2"/>
      <c r="S88" s="2"/>
      <c r="T88" s="2"/>
      <c r="U88" s="2"/>
      <c r="V88" s="2"/>
      <c r="W88" s="2"/>
      <c r="X88" s="2"/>
      <c r="Y88" s="2"/>
      <c r="Z88" s="2"/>
      <c r="AA88" s="2"/>
      <c r="AB88" s="2"/>
      <c r="AC88" s="2"/>
      <c r="AD88" s="2"/>
      <c r="AE88" s="2"/>
    </row>
    <row r="89" spans="15:31">
      <c r="O89" s="2"/>
      <c r="P89" s="2"/>
      <c r="Q89" s="2"/>
      <c r="R89" s="2"/>
      <c r="S89" s="2"/>
      <c r="T89" s="2"/>
      <c r="U89" s="2"/>
      <c r="V89" s="2"/>
      <c r="W89" s="2"/>
      <c r="X89" s="2"/>
      <c r="Y89" s="2"/>
      <c r="Z89" s="2"/>
      <c r="AA89" s="2"/>
      <c r="AB89" s="2"/>
      <c r="AC89" s="2"/>
      <c r="AD89" s="2"/>
      <c r="AE89" s="2"/>
    </row>
    <row r="90" spans="15:31">
      <c r="O90" s="2"/>
      <c r="P90" s="2"/>
      <c r="Q90" s="2"/>
      <c r="R90" s="2"/>
      <c r="S90" s="2"/>
      <c r="T90" s="2"/>
      <c r="U90" s="2"/>
      <c r="V90" s="2"/>
      <c r="W90" s="2"/>
      <c r="X90" s="2"/>
      <c r="Y90" s="2"/>
      <c r="Z90" s="2"/>
      <c r="AA90" s="2"/>
      <c r="AB90" s="2"/>
      <c r="AC90" s="2"/>
      <c r="AD90" s="2"/>
      <c r="AE90" s="2"/>
    </row>
    <row r="91" spans="15:31">
      <c r="O91" s="2"/>
      <c r="P91" s="2"/>
      <c r="Q91" s="2"/>
      <c r="R91" s="2"/>
      <c r="S91" s="2"/>
      <c r="T91" s="2"/>
      <c r="U91" s="2"/>
      <c r="V91" s="2"/>
      <c r="W91" s="2"/>
      <c r="X91" s="2"/>
      <c r="Y91" s="2"/>
      <c r="Z91" s="2"/>
      <c r="AA91" s="2"/>
      <c r="AB91" s="2"/>
      <c r="AC91" s="2"/>
      <c r="AD91" s="2"/>
      <c r="AE91" s="2"/>
    </row>
    <row r="92" spans="15:31">
      <c r="O92" s="2"/>
      <c r="P92" s="2"/>
      <c r="Q92" s="2"/>
      <c r="R92" s="2"/>
      <c r="S92" s="2"/>
      <c r="T92" s="2"/>
      <c r="U92" s="2"/>
      <c r="V92" s="2"/>
      <c r="W92" s="2"/>
      <c r="X92" s="2"/>
      <c r="Y92" s="2"/>
      <c r="Z92" s="2"/>
      <c r="AA92" s="2"/>
      <c r="AB92" s="2"/>
      <c r="AC92" s="2"/>
      <c r="AD92" s="2"/>
      <c r="AE92" s="2"/>
    </row>
    <row r="93" spans="15:31">
      <c r="O93" s="2"/>
      <c r="P93" s="2"/>
      <c r="Q93" s="2"/>
      <c r="R93" s="2"/>
      <c r="S93" s="2"/>
      <c r="T93" s="2"/>
      <c r="U93" s="2"/>
      <c r="V93" s="2"/>
      <c r="W93" s="2"/>
      <c r="X93" s="2"/>
      <c r="Y93" s="2"/>
      <c r="Z93" s="2"/>
      <c r="AA93" s="2"/>
      <c r="AB93" s="2"/>
      <c r="AC93" s="2"/>
      <c r="AD93" s="2"/>
      <c r="AE93" s="2"/>
    </row>
    <row r="94" spans="15:31">
      <c r="O94" s="2"/>
      <c r="P94" s="2"/>
      <c r="Q94" s="2"/>
      <c r="R94" s="2"/>
      <c r="S94" s="2"/>
      <c r="T94" s="2"/>
      <c r="U94" s="2"/>
      <c r="V94" s="2"/>
      <c r="W94" s="2"/>
      <c r="X94" s="2"/>
      <c r="Y94" s="2"/>
      <c r="Z94" s="2"/>
      <c r="AA94" s="2"/>
      <c r="AB94" s="2"/>
      <c r="AC94" s="2"/>
      <c r="AD94" s="2"/>
      <c r="AE94" s="2"/>
    </row>
    <row r="95" spans="15:31">
      <c r="O95" s="2"/>
      <c r="P95" s="2"/>
      <c r="Q95" s="2"/>
      <c r="R95" s="2"/>
      <c r="S95" s="2"/>
      <c r="T95" s="2"/>
      <c r="U95" s="2"/>
      <c r="V95" s="2"/>
      <c r="W95" s="2"/>
      <c r="X95" s="2"/>
      <c r="Y95" s="2"/>
      <c r="Z95" s="2"/>
      <c r="AA95" s="2"/>
      <c r="AB95" s="2"/>
      <c r="AC95" s="2"/>
      <c r="AD95" s="2"/>
      <c r="AE95" s="2"/>
    </row>
    <row r="96" spans="15:31">
      <c r="O96" s="2"/>
      <c r="P96" s="2"/>
      <c r="Q96" s="2"/>
      <c r="R96" s="2"/>
      <c r="S96" s="2"/>
      <c r="T96" s="2"/>
      <c r="U96" s="2"/>
      <c r="V96" s="2"/>
      <c r="W96" s="2"/>
      <c r="X96" s="2"/>
      <c r="Y96" s="2"/>
      <c r="Z96" s="2"/>
      <c r="AA96" s="2"/>
      <c r="AB96" s="2"/>
      <c r="AC96" s="2"/>
      <c r="AD96" s="2"/>
      <c r="AE96" s="2"/>
    </row>
    <row r="97" spans="15:31">
      <c r="O97" s="2"/>
      <c r="P97" s="2"/>
      <c r="Q97" s="2"/>
      <c r="R97" s="2"/>
      <c r="S97" s="2"/>
      <c r="T97" s="2"/>
      <c r="U97" s="2"/>
      <c r="V97" s="2"/>
      <c r="W97" s="2"/>
      <c r="X97" s="2"/>
      <c r="Y97" s="2"/>
      <c r="Z97" s="2"/>
      <c r="AA97" s="2"/>
      <c r="AB97" s="2"/>
      <c r="AC97" s="2"/>
      <c r="AD97" s="2"/>
      <c r="AE97" s="2"/>
    </row>
    <row r="98" spans="15:31">
      <c r="O98" s="2"/>
      <c r="P98" s="2"/>
      <c r="Q98" s="2"/>
      <c r="R98" s="2"/>
      <c r="S98" s="2"/>
      <c r="T98" s="2"/>
      <c r="U98" s="2"/>
      <c r="V98" s="2"/>
      <c r="W98" s="2"/>
      <c r="X98" s="2"/>
      <c r="Y98" s="2"/>
      <c r="Z98" s="2"/>
      <c r="AA98" s="2"/>
      <c r="AB98" s="2"/>
      <c r="AC98" s="2"/>
      <c r="AD98" s="2"/>
      <c r="AE98" s="2"/>
    </row>
    <row r="99" spans="15:31">
      <c r="O99" s="2"/>
      <c r="P99" s="2"/>
      <c r="Q99" s="2"/>
      <c r="R99" s="2"/>
      <c r="S99" s="2"/>
      <c r="T99" s="2"/>
      <c r="U99" s="2"/>
      <c r="V99" s="2"/>
      <c r="W99" s="2"/>
      <c r="X99" s="2"/>
      <c r="Y99" s="2"/>
      <c r="Z99" s="2"/>
      <c r="AA99" s="2"/>
      <c r="AB99" s="2"/>
      <c r="AC99" s="2"/>
      <c r="AD99" s="2"/>
      <c r="AE99" s="2"/>
    </row>
    <row r="100" spans="15:31">
      <c r="O100" s="2"/>
      <c r="P100" s="2"/>
      <c r="Q100" s="2"/>
      <c r="R100" s="2"/>
      <c r="S100" s="2"/>
      <c r="T100" s="2"/>
      <c r="U100" s="2"/>
      <c r="V100" s="2"/>
      <c r="W100" s="2"/>
      <c r="X100" s="2"/>
      <c r="Y100" s="2"/>
      <c r="Z100" s="2"/>
      <c r="AA100" s="2"/>
      <c r="AB100" s="2"/>
      <c r="AC100" s="2"/>
      <c r="AD100" s="2"/>
      <c r="AE100" s="2"/>
    </row>
    <row r="101" spans="15:31">
      <c r="O101" s="2"/>
      <c r="P101" s="2"/>
      <c r="Q101" s="2"/>
      <c r="R101" s="2"/>
      <c r="S101" s="2"/>
      <c r="T101" s="2"/>
      <c r="U101" s="2"/>
      <c r="V101" s="2"/>
      <c r="W101" s="2"/>
      <c r="X101" s="2"/>
      <c r="Y101" s="2"/>
      <c r="Z101" s="2"/>
      <c r="AA101" s="2"/>
      <c r="AB101" s="2"/>
      <c r="AC101" s="2"/>
      <c r="AD101" s="2"/>
      <c r="AE101" s="2"/>
    </row>
    <row r="102" spans="15:31">
      <c r="O102" s="2"/>
      <c r="P102" s="2"/>
      <c r="Q102" s="2"/>
      <c r="R102" s="2"/>
      <c r="S102" s="2"/>
      <c r="T102" s="2"/>
      <c r="U102" s="2"/>
      <c r="V102" s="2"/>
      <c r="W102" s="2"/>
      <c r="X102" s="2"/>
      <c r="Y102" s="2"/>
      <c r="Z102" s="2"/>
      <c r="AA102" s="2"/>
      <c r="AB102" s="2"/>
      <c r="AC102" s="2"/>
      <c r="AD102" s="2"/>
      <c r="AE102" s="2"/>
    </row>
    <row r="103" spans="15:31">
      <c r="O103" s="2"/>
      <c r="P103" s="2"/>
      <c r="Q103" s="2"/>
      <c r="R103" s="2"/>
      <c r="S103" s="2"/>
      <c r="T103" s="2"/>
      <c r="U103" s="2"/>
      <c r="V103" s="2"/>
      <c r="W103" s="2"/>
      <c r="X103" s="2"/>
      <c r="Y103" s="2"/>
      <c r="Z103" s="2"/>
      <c r="AA103" s="2"/>
      <c r="AB103" s="2"/>
      <c r="AC103" s="2"/>
      <c r="AD103" s="2"/>
      <c r="AE103" s="2"/>
    </row>
    <row r="104" spans="15:31">
      <c r="O104" s="2"/>
      <c r="P104" s="2"/>
      <c r="Q104" s="2"/>
      <c r="R104" s="2"/>
      <c r="S104" s="2"/>
      <c r="T104" s="2"/>
      <c r="U104" s="2"/>
      <c r="V104" s="2"/>
      <c r="W104" s="2"/>
      <c r="X104" s="2"/>
      <c r="Y104" s="2"/>
      <c r="Z104" s="2"/>
      <c r="AA104" s="2"/>
      <c r="AB104" s="2"/>
      <c r="AC104" s="2"/>
      <c r="AD104" s="2"/>
      <c r="AE104" s="2"/>
    </row>
    <row r="105" spans="15:31">
      <c r="O105" s="2"/>
      <c r="P105" s="2"/>
      <c r="Q105" s="2"/>
      <c r="R105" s="2"/>
      <c r="S105" s="2"/>
      <c r="T105" s="2"/>
      <c r="U105" s="2"/>
      <c r="V105" s="2"/>
      <c r="W105" s="2"/>
      <c r="X105" s="2"/>
      <c r="Y105" s="2"/>
      <c r="Z105" s="2"/>
      <c r="AA105" s="2"/>
      <c r="AB105" s="2"/>
      <c r="AC105" s="2"/>
      <c r="AD105" s="2"/>
      <c r="AE105" s="2"/>
    </row>
    <row r="106" spans="15:31">
      <c r="O106" s="2"/>
      <c r="P106" s="2"/>
      <c r="Q106" s="2"/>
      <c r="R106" s="2"/>
      <c r="S106" s="2"/>
      <c r="T106" s="2"/>
      <c r="U106" s="2"/>
      <c r="V106" s="2"/>
      <c r="W106" s="2"/>
      <c r="X106" s="2"/>
      <c r="Y106" s="2"/>
      <c r="Z106" s="2"/>
      <c r="AA106" s="2"/>
      <c r="AB106" s="2"/>
      <c r="AC106" s="2"/>
      <c r="AD106" s="2"/>
      <c r="AE106" s="2"/>
    </row>
    <row r="107" spans="15:31">
      <c r="O107" s="2"/>
      <c r="P107" s="2"/>
      <c r="Q107" s="2"/>
      <c r="R107" s="2"/>
      <c r="S107" s="2"/>
      <c r="T107" s="2"/>
      <c r="U107" s="2"/>
      <c r="V107" s="2"/>
      <c r="W107" s="2"/>
      <c r="X107" s="2"/>
      <c r="Y107" s="2"/>
      <c r="Z107" s="2"/>
      <c r="AA107" s="2"/>
      <c r="AB107" s="2"/>
      <c r="AC107" s="2"/>
      <c r="AD107" s="2"/>
      <c r="AE107" s="2"/>
    </row>
    <row r="108" spans="15:31">
      <c r="O108" s="2"/>
      <c r="P108" s="2"/>
      <c r="Q108" s="2"/>
      <c r="R108" s="2"/>
      <c r="S108" s="2"/>
      <c r="T108" s="2"/>
      <c r="U108" s="2"/>
      <c r="V108" s="2"/>
      <c r="W108" s="2"/>
      <c r="X108" s="2"/>
      <c r="Y108" s="2"/>
      <c r="Z108" s="2"/>
      <c r="AA108" s="2"/>
      <c r="AB108" s="2"/>
      <c r="AC108" s="2"/>
      <c r="AD108" s="2"/>
      <c r="AE108" s="2"/>
    </row>
    <row r="109" spans="15:31">
      <c r="O109" s="2"/>
      <c r="P109" s="2"/>
      <c r="Q109" s="2"/>
      <c r="R109" s="2"/>
      <c r="S109" s="2"/>
      <c r="T109" s="2"/>
      <c r="U109" s="2"/>
      <c r="V109" s="2"/>
      <c r="W109" s="2"/>
      <c r="X109" s="2"/>
      <c r="Y109" s="2"/>
      <c r="Z109" s="2"/>
      <c r="AA109" s="2"/>
      <c r="AB109" s="2"/>
      <c r="AC109" s="2"/>
      <c r="AD109" s="2"/>
      <c r="AE109" s="2"/>
    </row>
    <row r="110" spans="15:31">
      <c r="O110" s="2"/>
      <c r="P110" s="2"/>
      <c r="Q110" s="2"/>
      <c r="R110" s="2"/>
      <c r="S110" s="2"/>
      <c r="T110" s="2"/>
      <c r="U110" s="2"/>
      <c r="V110" s="2"/>
      <c r="W110" s="2"/>
      <c r="X110" s="2"/>
      <c r="Y110" s="2"/>
      <c r="Z110" s="2"/>
      <c r="AA110" s="2"/>
      <c r="AB110" s="2"/>
      <c r="AC110" s="2"/>
      <c r="AD110" s="2"/>
      <c r="AE110" s="2"/>
    </row>
    <row r="111" spans="15:31">
      <c r="O111" s="2"/>
      <c r="P111" s="2"/>
      <c r="Q111" s="2"/>
      <c r="R111" s="2"/>
      <c r="S111" s="2"/>
      <c r="T111" s="2"/>
      <c r="U111" s="2"/>
      <c r="V111" s="2"/>
      <c r="W111" s="2"/>
      <c r="X111" s="2"/>
      <c r="Y111" s="2"/>
      <c r="Z111" s="2"/>
      <c r="AA111" s="2"/>
      <c r="AB111" s="2"/>
      <c r="AC111" s="2"/>
      <c r="AD111" s="2"/>
      <c r="AE111" s="2"/>
    </row>
  </sheetData>
  <mergeCells count="13">
    <mergeCell ref="R44:R45"/>
    <mergeCell ref="R47:R48"/>
    <mergeCell ref="G4:H4"/>
    <mergeCell ref="J26:K26"/>
    <mergeCell ref="F9:H9"/>
    <mergeCell ref="M34:N36"/>
    <mergeCell ref="S43:T43"/>
    <mergeCell ref="AE1:AE2"/>
    <mergeCell ref="I2:L2"/>
    <mergeCell ref="P1:Q1"/>
    <mergeCell ref="P2:Q2"/>
    <mergeCell ref="M22:N24"/>
    <mergeCell ref="I18:L18"/>
  </mergeCells>
  <phoneticPr fontId="0" type="noConversion"/>
  <conditionalFormatting sqref="E14:E15">
    <cfRule type="expression" dxfId="32" priority="7" stopIfTrue="1">
      <formula>C14=0</formula>
    </cfRule>
  </conditionalFormatting>
  <conditionalFormatting sqref="R28 U28 O28">
    <cfRule type="cellIs" dxfId="31" priority="8" stopIfTrue="1" operator="equal">
      <formula>"ok"</formula>
    </cfRule>
  </conditionalFormatting>
  <conditionalFormatting sqref="S20 V20">
    <cfRule type="cellIs" dxfId="30" priority="9" stopIfTrue="1" operator="equal">
      <formula>"INVALID"</formula>
    </cfRule>
  </conditionalFormatting>
  <conditionalFormatting sqref="G30:G38 H31 G29:H29 B29:B38 C35:E35 C36:F38 D29:F34 C28:C34">
    <cfRule type="expression" dxfId="29" priority="10" stopIfTrue="1">
      <formula>$I$24&gt;=$I$25</formula>
    </cfRule>
  </conditionalFormatting>
  <conditionalFormatting sqref="N25:N31 N13:N15 M27">
    <cfRule type="cellIs" dxfId="28" priority="11" stopIfTrue="1" operator="equal">
      <formula>""</formula>
    </cfRule>
  </conditionalFormatting>
  <conditionalFormatting sqref="C14:D16">
    <cfRule type="cellIs" dxfId="27" priority="12" stopIfTrue="1" operator="equal">
      <formula>0</formula>
    </cfRule>
  </conditionalFormatting>
  <conditionalFormatting sqref="F10:G10">
    <cfRule type="cellIs" dxfId="26" priority="13" stopIfTrue="1" operator="equal">
      <formula>"."</formula>
    </cfRule>
  </conditionalFormatting>
  <conditionalFormatting sqref="F9:G9">
    <cfRule type="cellIs" dxfId="25" priority="14" stopIfTrue="1" operator="equal">
      <formula>"VALID DESIGN"</formula>
    </cfRule>
  </conditionalFormatting>
  <conditionalFormatting sqref="M15 M28:M29 M13 M26 M21 M19">
    <cfRule type="cellIs" dxfId="24" priority="16" stopIfTrue="1" operator="equal">
      <formula>"√"</formula>
    </cfRule>
  </conditionalFormatting>
  <conditionalFormatting sqref="I25">
    <cfRule type="expression" dxfId="23" priority="17" stopIfTrue="1">
      <formula>$K$25&gt;1</formula>
    </cfRule>
  </conditionalFormatting>
  <conditionalFormatting sqref="M14">
    <cfRule type="cellIs" dxfId="22" priority="6" operator="equal">
      <formula>"√"</formula>
    </cfRule>
  </conditionalFormatting>
  <conditionalFormatting sqref="D25">
    <cfRule type="expression" dxfId="21" priority="29" stopIfTrue="1">
      <formula>$M$25="√"</formula>
    </cfRule>
  </conditionalFormatting>
  <conditionalFormatting sqref="M22">
    <cfRule type="cellIs" dxfId="20" priority="5" stopIfTrue="1" operator="equal">
      <formula>"√"</formula>
    </cfRule>
  </conditionalFormatting>
  <conditionalFormatting sqref="I18">
    <cfRule type="cellIs" dxfId="19" priority="4" stopIfTrue="1" operator="equal">
      <formula>"√"</formula>
    </cfRule>
  </conditionalFormatting>
  <conditionalFormatting sqref="M34">
    <cfRule type="expression" dxfId="18" priority="3" stopIfTrue="1">
      <formula>$R$36=0</formula>
    </cfRule>
  </conditionalFormatting>
  <conditionalFormatting sqref="M25">
    <cfRule type="cellIs" dxfId="17" priority="1" stopIfTrue="1" operator="equal">
      <formula>"√"</formula>
    </cfRule>
  </conditionalFormatting>
  <printOptions horizontalCentered="1"/>
  <pageMargins left="0.25" right="0.25" top="0.25" bottom="0.25" header="0" footer="0"/>
  <pageSetup paperSize="9" scale="93" orientation="portrait" r:id="rId1"/>
  <headerFooter alignWithMargins="0"/>
  <drawing r:id="rId2"/>
  <legacyDrawing r:id="rId3"/>
  <picture r:id="rId4"/>
  <controls>
    <mc:AlternateContent xmlns:mc="http://schemas.openxmlformats.org/markup-compatibility/2006">
      <mc:Choice Requires="x14">
        <control shapeId="4102" r:id="rId5" name="ComboBox1">
          <controlPr defaultSize="0" autoFill="0" autoLine="0" linkedCell="P3" listFillRange="P1:P2" r:id="rId6">
            <anchor moveWithCells="1">
              <from>
                <xdr:col>12</xdr:col>
                <xdr:colOff>152400</xdr:colOff>
                <xdr:row>9</xdr:row>
                <xdr:rowOff>28575</xdr:rowOff>
              </from>
              <to>
                <xdr:col>12</xdr:col>
                <xdr:colOff>2114550</xdr:colOff>
                <xdr:row>10</xdr:row>
                <xdr:rowOff>66675</xdr:rowOff>
              </to>
            </anchor>
          </controlPr>
        </control>
      </mc:Choice>
      <mc:Fallback>
        <control shapeId="4102" r:id="rId5" name="ComboBox1"/>
      </mc:Fallback>
    </mc:AlternateContent>
    <mc:AlternateContent xmlns:mc="http://schemas.openxmlformats.org/markup-compatibility/2006">
      <mc:Choice Requires="x14">
        <control shapeId="4111" r:id="rId7" name="Button 15">
          <controlPr defaultSize="0" print="0" autoFill="0" autoPict="0" macro="[0]!PrintSheet">
            <anchor moveWithCells="1">
              <from>
                <xdr:col>12</xdr:col>
                <xdr:colOff>323850</xdr:colOff>
                <xdr:row>15</xdr:row>
                <xdr:rowOff>142875</xdr:rowOff>
              </from>
              <to>
                <xdr:col>12</xdr:col>
                <xdr:colOff>1533525</xdr:colOff>
                <xdr:row>17</xdr:row>
                <xdr:rowOff>95250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indexed="21"/>
    <pageSetUpPr fitToPage="1"/>
  </sheetPr>
  <dimension ref="A1:AN122"/>
  <sheetViews>
    <sheetView showGridLines="0" zoomScale="89" zoomScaleNormal="89" workbookViewId="0">
      <selection activeCell="F17" sqref="F17"/>
    </sheetView>
  </sheetViews>
  <sheetFormatPr defaultRowHeight="15"/>
  <cols>
    <col min="1" max="1" width="3.77734375" customWidth="1"/>
    <col min="2" max="2" width="12.21875" customWidth="1"/>
    <col min="3" max="4" width="6.77734375" customWidth="1"/>
    <col min="5" max="5" width="7.77734375" customWidth="1"/>
    <col min="6" max="7" width="6.77734375" customWidth="1"/>
    <col min="8" max="8" width="7.77734375" customWidth="1"/>
    <col min="9" max="9" width="8.77734375" customWidth="1"/>
    <col min="10" max="10" width="6.77734375" customWidth="1"/>
    <col min="11" max="12" width="8.77734375" customWidth="1"/>
    <col min="13" max="13" width="37.77734375" customWidth="1"/>
    <col min="14" max="14" width="11.33203125" customWidth="1"/>
    <col min="15" max="15" width="7.77734375" customWidth="1"/>
    <col min="16" max="16" width="9.88671875" customWidth="1"/>
    <col min="17" max="17" width="11.77734375" customWidth="1"/>
    <col min="18" max="18" width="7.77734375" customWidth="1"/>
    <col min="19" max="19" width="9.88671875" customWidth="1"/>
    <col min="20" max="20" width="11.77734375" customWidth="1"/>
    <col min="21" max="21" width="7.77734375" customWidth="1"/>
    <col min="22" max="22" width="7.21875" customWidth="1"/>
    <col min="23" max="35" width="6.77734375" customWidth="1"/>
  </cols>
  <sheetData>
    <row r="1" spans="1:40" ht="20.25" thickBot="1">
      <c r="A1" s="352"/>
      <c r="B1" s="226"/>
      <c r="C1" s="226"/>
      <c r="D1" s="226"/>
      <c r="E1" s="226"/>
      <c r="F1" s="226"/>
      <c r="G1" s="226"/>
      <c r="H1" s="226"/>
      <c r="I1" s="226"/>
      <c r="J1" s="226"/>
      <c r="K1" s="226"/>
      <c r="L1" s="226"/>
      <c r="M1" s="227"/>
      <c r="N1" s="2"/>
      <c r="O1" s="713" t="s">
        <v>305</v>
      </c>
      <c r="P1" s="714"/>
      <c r="Q1" s="3" t="str">
        <f>IF(NOT(E9=500),"X",IF(E10="B","B",IF(E10="C","C","H")))</f>
        <v>H</v>
      </c>
      <c r="R1" s="3" t="str">
        <f>Q1&amp;IF(O28=1,O14,IF(R28=1,R12,U12))&amp;" @ "</f>
        <v xml:space="preserve">H8 @ </v>
      </c>
      <c r="T1" s="1" t="s">
        <v>72</v>
      </c>
      <c r="U1" s="15">
        <f>1000*(E$17-E$18*AG6)*G$19/AC6/G$22</f>
        <v>1.7790522094332046</v>
      </c>
      <c r="X1" s="460" t="s">
        <v>38</v>
      </c>
      <c r="Y1" s="461"/>
      <c r="Z1" s="461"/>
      <c r="AA1" s="461"/>
      <c r="AB1" s="461"/>
      <c r="AC1" s="461"/>
      <c r="AE1" s="460" t="s">
        <v>71</v>
      </c>
      <c r="AF1" s="461"/>
      <c r="AG1" s="461"/>
      <c r="AI1" s="41">
        <v>0</v>
      </c>
      <c r="AJ1" s="42">
        <v>8</v>
      </c>
    </row>
    <row r="2" spans="1:40" ht="26.25" thickBot="1">
      <c r="A2" s="228"/>
      <c r="B2" s="265" t="s">
        <v>13</v>
      </c>
      <c r="C2" s="338" t="str">
        <f>INTERNAL!C2</f>
        <v>Milton Keynes</v>
      </c>
      <c r="D2" s="298"/>
      <c r="E2" s="298"/>
      <c r="F2" s="298"/>
      <c r="G2" s="298"/>
      <c r="H2" s="299"/>
      <c r="I2" s="734" t="str">
        <f>INTERNAL!I2</f>
        <v>The Concrete Centre</v>
      </c>
      <c r="J2" s="735"/>
      <c r="K2" s="735"/>
      <c r="L2" s="736"/>
      <c r="M2" s="229"/>
      <c r="N2" s="2"/>
      <c r="O2" s="715" t="s">
        <v>306</v>
      </c>
      <c r="P2" s="716"/>
      <c r="Q2" s="2"/>
      <c r="R2" s="3"/>
      <c r="T2" s="14" t="s">
        <v>73</v>
      </c>
      <c r="U2" s="15">
        <f>1000*(E$17-E$18*AG5)*G$19/AC5/G$22</f>
        <v>1.7790522094331997</v>
      </c>
      <c r="X2" s="463" t="s">
        <v>3</v>
      </c>
      <c r="Y2" s="463" t="s">
        <v>0</v>
      </c>
      <c r="Z2" s="463" t="s">
        <v>33</v>
      </c>
      <c r="AA2" s="463" t="s">
        <v>34</v>
      </c>
      <c r="AB2" s="463" t="s">
        <v>1</v>
      </c>
      <c r="AC2" s="463" t="s">
        <v>410</v>
      </c>
      <c r="AD2" s="463" t="s">
        <v>411</v>
      </c>
      <c r="AE2" s="463" t="s">
        <v>0</v>
      </c>
      <c r="AF2" s="463" t="s">
        <v>33</v>
      </c>
      <c r="AG2" s="463" t="s">
        <v>34</v>
      </c>
      <c r="AI2" s="43">
        <f>PI()/4*6^2</f>
        <v>28.274333882308138</v>
      </c>
      <c r="AJ2" s="44">
        <v>8</v>
      </c>
    </row>
    <row r="3" spans="1:40" ht="18">
      <c r="A3" s="226"/>
      <c r="B3" s="267" t="s">
        <v>14</v>
      </c>
      <c r="C3" s="339" t="str">
        <f>INTERNAL!C3</f>
        <v>Abbey Gate Developments</v>
      </c>
      <c r="D3" s="334"/>
      <c r="E3" s="301"/>
      <c r="F3" s="302"/>
      <c r="G3" s="302"/>
      <c r="H3" s="303"/>
      <c r="I3" s="316" t="s">
        <v>15</v>
      </c>
      <c r="J3" s="317" t="s">
        <v>16</v>
      </c>
      <c r="K3" s="318"/>
      <c r="L3" s="319" t="s">
        <v>17</v>
      </c>
      <c r="M3" s="229"/>
      <c r="N3" s="2"/>
      <c r="O3" s="13" t="s">
        <v>306</v>
      </c>
      <c r="P3" s="77"/>
      <c r="Q3" s="77"/>
      <c r="T3" s="76" t="s">
        <v>9</v>
      </c>
      <c r="X3" s="80">
        <v>1</v>
      </c>
      <c r="Y3" s="81">
        <f>2*G22</f>
        <v>360</v>
      </c>
      <c r="Z3" s="81">
        <f>2*PI()*Y3+2*($E$12+$E$13)</f>
        <v>4111.9467105846506</v>
      </c>
      <c r="AA3" s="81">
        <f>MIN(Z3,1.5*PI()*Y3+2*($E$12+$E$13)+E$14+E$15)</f>
        <v>3396.4600329384884</v>
      </c>
      <c r="AB3" s="81">
        <f>AB25</f>
        <v>0</v>
      </c>
      <c r="AC3" s="82">
        <f>AA3-AB3</f>
        <v>3396.4600329384884</v>
      </c>
      <c r="AD3" s="8">
        <f>(E$17-E$18*AG3-E$19/1000*(2*AE3-E$14-E$15))*G$19</f>
        <v>543.89075383774764</v>
      </c>
      <c r="AE3" s="84">
        <v>0</v>
      </c>
      <c r="AF3" s="370">
        <f>($E$12*$E$13+2*AE3*($E$12+$E$13)+PI()*AE3^2)/1000000</f>
        <v>0.1575</v>
      </c>
      <c r="AG3" s="85">
        <f>MIN(AF3,($E$12*$E$13+2*AE3*($E$12+$E$13)+AE3*E$14+E$15*(AE3-MAX(0,E$14))+0.75*PI()*AE3^2)/1000000)</f>
        <v>0.1575</v>
      </c>
      <c r="AI3" s="43">
        <f>PI()/4*AJ2^2</f>
        <v>50.26548245743669</v>
      </c>
      <c r="AJ3" s="44">
        <v>10</v>
      </c>
    </row>
    <row r="4" spans="1:40" ht="19.5">
      <c r="A4" s="226"/>
      <c r="B4" s="267" t="s">
        <v>18</v>
      </c>
      <c r="C4" s="268" t="s">
        <v>61</v>
      </c>
      <c r="D4" s="335"/>
      <c r="E4" s="301"/>
      <c r="F4" s="304"/>
      <c r="G4" s="741"/>
      <c r="H4" s="742"/>
      <c r="I4" s="375" t="str">
        <f>INTERNAL!I4</f>
        <v>SM</v>
      </c>
      <c r="J4" s="306">
        <f ca="1">INTERNAL!J4</f>
        <v>43662</v>
      </c>
      <c r="K4" s="307"/>
      <c r="L4" s="308">
        <f>INTERNAL!L4+3</f>
        <v>4</v>
      </c>
      <c r="M4" s="230"/>
      <c r="N4" s="18" t="s">
        <v>75</v>
      </c>
      <c r="O4" s="703">
        <f>IF(γRC&lt;22,0.5,0.6)*(1-E8/250)</f>
        <v>0.5232</v>
      </c>
      <c r="P4" s="240" t="s">
        <v>91</v>
      </c>
      <c r="Q4" s="364">
        <f>MIN(E9/Refs!D8,250+G22/4)</f>
        <v>295</v>
      </c>
      <c r="R4" s="365" t="s">
        <v>78</v>
      </c>
      <c r="S4" s="366" t="e">
        <f>(SQRT(E17/E18)*500-MAX(E12:E13))/2</f>
        <v>#DIV/0!</v>
      </c>
      <c r="X4" s="86" t="s">
        <v>409</v>
      </c>
      <c r="Y4" s="688">
        <f>1+Y13</f>
        <v>351.84407790617075</v>
      </c>
      <c r="Z4" s="87">
        <f>2*PI()*Y4+2*($E$12+$E$13)</f>
        <v>4060.7015407182016</v>
      </c>
      <c r="AA4" s="87">
        <f>MIN(Z4,1.5*PI()*Y4+2*($E$12+$E$13)+E$14+E$15)</f>
        <v>3358.0261555386514</v>
      </c>
      <c r="AB4" s="87">
        <f>AB26</f>
        <v>0</v>
      </c>
      <c r="AC4" s="88">
        <f>AA4-AB4</f>
        <v>3358.0261555386514</v>
      </c>
      <c r="AD4" s="687">
        <f>(E$17-E$18*AG4-E$19/1000*(2*AE4-E$14-E$15))*G$19</f>
        <v>543.94504207466525</v>
      </c>
      <c r="AE4" s="89">
        <f>Y4-2*G22</f>
        <v>-8.1559220938292469</v>
      </c>
      <c r="AF4" s="363">
        <f>($E$12*$E$13+2*AE4*($E$12+$E$13)+PI()*AE4^2)/1000000</f>
        <v>0.14262051993297378</v>
      </c>
      <c r="AG4" s="90">
        <f>MIN(AF4,($E$12*$E$13+2*AE4*($E$12+$E$13)+AE4*E$14+E$15*(AE4-MAX(0,E$14))+0.75*PI()*AE4^2)/1000000)</f>
        <v>0.14262051993297378</v>
      </c>
      <c r="AH4" s="26">
        <f>(1000*AD4/AC4/G22)/I24</f>
        <v>0.98060583044719629</v>
      </c>
      <c r="AI4" s="43">
        <f>PI()/4*AJ3^2</f>
        <v>78.539816339744831</v>
      </c>
      <c r="AJ4" s="44">
        <v>12</v>
      </c>
    </row>
    <row r="5" spans="1:40" ht="19.5">
      <c r="A5" s="226"/>
      <c r="B5" s="269"/>
      <c r="C5" s="270" t="str">
        <f>INTERNAL!C5</f>
        <v>PUNCHING SHEAR to BS EN 1992-1: 2004</v>
      </c>
      <c r="D5" s="336"/>
      <c r="E5" s="310"/>
      <c r="F5" s="304"/>
      <c r="G5" s="333"/>
      <c r="H5" s="337" t="s">
        <v>67</v>
      </c>
      <c r="I5" s="320"/>
      <c r="J5" s="321" t="s">
        <v>20</v>
      </c>
      <c r="K5" s="322"/>
      <c r="L5" s="323" t="s">
        <v>21</v>
      </c>
      <c r="M5" s="83"/>
      <c r="N5" s="1" t="s">
        <v>76</v>
      </c>
      <c r="O5" s="33">
        <f>E8/Refs!D7*Refs!D9</f>
        <v>21.333333333333332</v>
      </c>
      <c r="P5" s="2"/>
      <c r="Q5" s="2"/>
      <c r="R5" s="133" t="s">
        <v>155</v>
      </c>
      <c r="S5" s="134">
        <f>MAX(E12:E13)</f>
        <v>700</v>
      </c>
      <c r="X5" s="91" t="s">
        <v>45</v>
      </c>
      <c r="Y5" s="87">
        <f>MAX(0.000000000001,H12-E12/2,-H12-H15-E12/2,H13-E13/2,-H13-H14-E13/2)</f>
        <v>9.9999999999999998E-13</v>
      </c>
      <c r="Z5" s="87">
        <f>2*PI()*Y5+2*($E$12+$E$13)</f>
        <v>1850.0000000000064</v>
      </c>
      <c r="AA5" s="87">
        <f>MIN(Z5,1.5*PI()*Y5+2*($E$12+$E$13)+E$14+E$15)</f>
        <v>1700.0000000000048</v>
      </c>
      <c r="AB5" s="87">
        <f>AB27</f>
        <v>0</v>
      </c>
      <c r="AC5" s="88">
        <f>AA5-AB5</f>
        <v>1700.0000000000048</v>
      </c>
      <c r="AD5" s="8">
        <f>(E$17-E$18*AG5-E$19/1000*(2*AE5-E$14-E$15))*G$19</f>
        <v>543.89075383774764</v>
      </c>
      <c r="AE5" s="383">
        <f>MAX(0,Y5-0.75*G$22)</f>
        <v>0</v>
      </c>
      <c r="AF5" s="363">
        <f>($E$12*$E$13+2*AE5*($E$12+$E$13)+PI()*AE5^2)/1000000</f>
        <v>0.1575</v>
      </c>
      <c r="AG5" s="90">
        <f>MIN(AF5,($E$12*$E$13+2*AE5*($E$12+$E$13)+AE5*E$14+E$15*(AE5-MAX(0,E$14))+0.75*PI()*AE5^2)/1000000)</f>
        <v>0.1575</v>
      </c>
      <c r="AI5" s="43">
        <f>PI()/4*AJ4^2</f>
        <v>113.09733552923255</v>
      </c>
      <c r="AJ5" s="44">
        <v>16</v>
      </c>
    </row>
    <row r="6" spans="1:40" ht="20.25" thickBot="1">
      <c r="A6" s="226" t="s">
        <v>58</v>
      </c>
      <c r="B6" s="341"/>
      <c r="C6" s="342" t="str">
        <f ca="1">EDGE!C6</f>
        <v>Originated from TCC13.xlsm v4.16 on CD                © 2003-19 TCC</v>
      </c>
      <c r="D6" s="343"/>
      <c r="E6" s="344"/>
      <c r="F6" s="345"/>
      <c r="G6" s="304"/>
      <c r="H6" s="346" t="s">
        <v>64</v>
      </c>
      <c r="I6" s="376" t="str">
        <f>INTERNAL!I6</f>
        <v>AP</v>
      </c>
      <c r="J6" s="347" t="s">
        <v>59</v>
      </c>
      <c r="K6" s="348"/>
      <c r="L6" s="377">
        <f>INTERNAL!L6</f>
        <v>3259</v>
      </c>
      <c r="M6" s="231"/>
      <c r="N6" s="1" t="s">
        <v>77</v>
      </c>
      <c r="O6" s="34">
        <f>MIN(2,1+SQRT(200/G22))</f>
        <v>2</v>
      </c>
      <c r="P6" s="78" t="s">
        <v>147</v>
      </c>
      <c r="Q6" s="79" t="str">
        <f>IF(OR(H15=0,H14=0,MAX(IF(H12&lt;0,-H12-E12/2-H15,H12-E12/2),IF(H13&lt;0,-H13-E13/2-H14,H13-E13/2))&gt;6*G22),"NO","YES")</f>
        <v>NO</v>
      </c>
      <c r="R6" s="133" t="s">
        <v>156</v>
      </c>
      <c r="S6" s="134">
        <f>MIN(E12:E13)</f>
        <v>225</v>
      </c>
      <c r="T6" s="1" t="s">
        <v>223</v>
      </c>
      <c r="U6" s="5">
        <f>SQRT(MAX(Y21^2+Y22^2,Z21^2+Z22^2,AA21^2+AA22^2,AB21^2+AB22^2))</f>
        <v>1.4142135623730951E-10</v>
      </c>
      <c r="X6" s="92" t="s">
        <v>46</v>
      </c>
      <c r="Y6" s="93">
        <v>0</v>
      </c>
      <c r="Z6" s="374"/>
      <c r="AA6" s="93">
        <f>2*SUM(E12:E13)+MIN(0,E14)+MIN(0,E15)</f>
        <v>1700</v>
      </c>
      <c r="AB6" s="93">
        <f>AB28</f>
        <v>0</v>
      </c>
      <c r="AC6" s="94">
        <f>AA6-AB6</f>
        <v>1700</v>
      </c>
      <c r="AD6" s="8">
        <f>(E$17-E$18*AG6-E$19/1000*(2*AE6-E$14-E$15))*G$19</f>
        <v>543.89075383774764</v>
      </c>
      <c r="AE6" s="384">
        <v>0</v>
      </c>
      <c r="AF6" s="371"/>
      <c r="AG6" s="96">
        <f>AG3</f>
        <v>0.1575</v>
      </c>
      <c r="AI6" s="43">
        <f>PI()/4*AJ5^2</f>
        <v>201.06192982974676</v>
      </c>
      <c r="AJ6" s="44">
        <v>20</v>
      </c>
      <c r="AM6" s="8"/>
      <c r="AN6" s="8"/>
    </row>
    <row r="7" spans="1:40" ht="18">
      <c r="A7" s="226"/>
      <c r="B7" s="273"/>
      <c r="C7" s="349"/>
      <c r="D7" s="274"/>
      <c r="E7" s="274"/>
      <c r="F7" s="274"/>
      <c r="G7" s="274"/>
      <c r="H7" s="274"/>
      <c r="I7" s="274"/>
      <c r="J7" s="274"/>
      <c r="K7" s="274"/>
      <c r="L7" s="275"/>
      <c r="M7" s="232"/>
      <c r="AI7" s="45">
        <f>PI()/4*AJ6^2</f>
        <v>314.15926535897933</v>
      </c>
      <c r="AJ7" s="46">
        <v>25</v>
      </c>
      <c r="AM7" s="8"/>
      <c r="AN7" s="8"/>
    </row>
    <row r="8" spans="1:40" ht="19.5">
      <c r="A8" s="226"/>
      <c r="B8" s="276" t="s">
        <v>23</v>
      </c>
      <c r="C8" s="249" t="s">
        <v>68</v>
      </c>
      <c r="D8" s="250" t="s">
        <v>22</v>
      </c>
      <c r="E8" s="284">
        <f>INTERNAL!E8</f>
        <v>32</v>
      </c>
      <c r="F8" s="263" t="s">
        <v>40</v>
      </c>
      <c r="G8" s="264"/>
      <c r="H8" s="255"/>
      <c r="I8" s="332" t="s">
        <v>70</v>
      </c>
      <c r="J8" s="255"/>
      <c r="K8" s="255"/>
      <c r="L8" s="278"/>
      <c r="M8" s="233"/>
      <c r="N8" s="458" t="s">
        <v>101</v>
      </c>
      <c r="O8" s="34"/>
      <c r="R8" s="459" t="s">
        <v>257</v>
      </c>
      <c r="S8" s="138">
        <f>7+IF(MIN(E13/2,E13/2+E15)&lt;G22,0,1)+IF(MIN(E12/2,E12/2+E14)&lt;G22,0,1)</f>
        <v>8</v>
      </c>
      <c r="U8" s="459" t="s">
        <v>257</v>
      </c>
      <c r="V8" s="138">
        <f>3+S8</f>
        <v>11</v>
      </c>
      <c r="Y8" s="694" t="s">
        <v>420</v>
      </c>
      <c r="AJ8" s="8"/>
      <c r="AK8" s="8"/>
      <c r="AL8" s="8"/>
      <c r="AM8" s="8"/>
      <c r="AN8" s="8"/>
    </row>
    <row r="9" spans="1:40" ht="18">
      <c r="A9" s="226"/>
      <c r="B9" s="279"/>
      <c r="C9" s="249" t="s">
        <v>69</v>
      </c>
      <c r="D9" s="250" t="s">
        <v>22</v>
      </c>
      <c r="E9" s="284">
        <f>INTERNAL!E9</f>
        <v>500</v>
      </c>
      <c r="F9" s="737" t="str">
        <f>IF(N40=0,"VALID DESIGN","FAILS on "&amp;O36&amp;O37&amp;O38&amp;O39)</f>
        <v>VALID DESIGN</v>
      </c>
      <c r="G9" s="737"/>
      <c r="H9" s="745"/>
      <c r="I9" s="255"/>
      <c r="J9" s="255"/>
      <c r="K9" s="255"/>
      <c r="L9" s="278"/>
      <c r="M9" s="260" t="s">
        <v>32</v>
      </c>
      <c r="N9" s="78" t="s">
        <v>271</v>
      </c>
      <c r="O9" s="502">
        <f>CEILING(0.19*$G22,5)</f>
        <v>35</v>
      </c>
      <c r="P9" s="115" t="s">
        <v>4</v>
      </c>
      <c r="Q9" s="49" t="s">
        <v>116</v>
      </c>
      <c r="R9" s="139">
        <f>((S5^2+S6^2)/4+D34*(S5+S6)+2*D34^2)/(S5+2*D34)</f>
        <v>266.59801136363637</v>
      </c>
      <c r="S9" s="51" t="s">
        <v>4</v>
      </c>
      <c r="T9" s="49" t="s">
        <v>116</v>
      </c>
      <c r="U9" s="139">
        <f>(S5+S6+4*D34-SQRT((S5+S6+4*D34)^2-4*((S5^2+S6^2)/4+D34*(S5+S6)+2*D34^2)))/2</f>
        <v>220.36258161589132</v>
      </c>
      <c r="V9" s="51" t="s">
        <v>4</v>
      </c>
      <c r="Y9" s="84">
        <f>4*G22</f>
        <v>720</v>
      </c>
      <c r="Z9" s="81">
        <f>2*PI()*Y9+2*($E$12+$E$13)</f>
        <v>6373.8934211693022</v>
      </c>
      <c r="AA9" s="81">
        <f>MIN(Z9,1.5*PI()*Y9+2*($E$12+$E$13)+E$14+E$15)</f>
        <v>5092.9200658769769</v>
      </c>
      <c r="AB9" s="81">
        <f>AB26</f>
        <v>0</v>
      </c>
      <c r="AC9" s="82">
        <f>AA9-AB9</f>
        <v>5092.9200658769769</v>
      </c>
      <c r="AD9" s="244">
        <f>(E$17-E$18*AG9-E$19/1000*(2*AE9-E$14-E$15))*G$19</f>
        <v>541.49448704344525</v>
      </c>
      <c r="AE9" s="84">
        <f>Y9-2*G$22</f>
        <v>360</v>
      </c>
      <c r="AF9" s="159">
        <f>($E$12*$E$13+2*AE9*($E$12+$E$13)+PI()*AE9^2)/1000000</f>
        <v>1.2306504079052374</v>
      </c>
      <c r="AG9" s="85">
        <f>MIN(AF9,($E$12*$E$13+2*AE9*($E$12+$E$13)+AE9*E$14+E$15*(AE9-MAX(0,E$14))+0.75*PI()*AE9^2)/1000000)</f>
        <v>1.0748628059289278</v>
      </c>
      <c r="AH9" s="690">
        <f>(1000*AD9/AC9/G$22)/I$24</f>
        <v>0.64365137676475215</v>
      </c>
      <c r="AJ9" s="8"/>
      <c r="AK9" s="8"/>
      <c r="AL9" s="8"/>
      <c r="AM9" s="8"/>
      <c r="AN9" s="8"/>
    </row>
    <row r="10" spans="1:40" ht="18">
      <c r="A10" s="226"/>
      <c r="B10" s="279"/>
      <c r="C10" s="484"/>
      <c r="D10" s="249" t="s">
        <v>260</v>
      </c>
      <c r="E10" s="251" t="str">
        <f>INTERNAL!E11</f>
        <v>A</v>
      </c>
      <c r="F10" s="262" t="str">
        <f>IF(N38=1,"Increase As?",IF(E8&gt;Refs!D12,"fck too high","."))</f>
        <v>.</v>
      </c>
      <c r="G10" s="262"/>
      <c r="H10" s="255"/>
      <c r="I10" s="255"/>
      <c r="J10" s="255"/>
      <c r="K10" s="255"/>
      <c r="L10" s="278"/>
      <c r="M10" s="233"/>
      <c r="N10" s="114" t="s">
        <v>113</v>
      </c>
      <c r="O10" s="105">
        <f>MAX(0,(I25-0.75*I24)/1.5/Q4*AC3)</f>
        <v>1.5518029057434546</v>
      </c>
      <c r="P10" s="115" t="s">
        <v>4</v>
      </c>
      <c r="Q10" s="52" t="s">
        <v>152</v>
      </c>
      <c r="R10" s="105">
        <f>0.08*SQRT($E8)/$E9/1.5*R9</f>
        <v>0.16086464997211783</v>
      </c>
      <c r="S10" s="132" t="s">
        <v>4</v>
      </c>
      <c r="T10" s="52" t="s">
        <v>152</v>
      </c>
      <c r="U10" s="105">
        <f>0.08*SQRT($E8)/$E9/1.5*U9</f>
        <v>0.13296629399924975</v>
      </c>
      <c r="V10" s="132" t="s">
        <v>4</v>
      </c>
      <c r="Y10" s="89">
        <f>Y9*AH9</f>
        <v>463.42899127062157</v>
      </c>
      <c r="Z10" s="87">
        <f>2*PI()*Y10+2*($E$12+$E$13)</f>
        <v>4761.8102288726259</v>
      </c>
      <c r="AA10" s="87">
        <f>MIN(Z10,1.5*PI()*Y10+2*($E$12+$E$13)+E$14+E$15)</f>
        <v>3883.8576716544694</v>
      </c>
      <c r="AB10" s="87">
        <f>AB$9*Y10/Y$9</f>
        <v>0</v>
      </c>
      <c r="AC10" s="88">
        <f>AA10-AB10</f>
        <v>3883.8576716544694</v>
      </c>
      <c r="AD10" s="691">
        <f>(E$17-E$18*AG10-E$19/1000*(2*AE10-E$14-E$15))*G$19</f>
        <v>543.20229978955331</v>
      </c>
      <c r="AE10" s="89">
        <f>Y10-2*G$22</f>
        <v>103.42899127062157</v>
      </c>
      <c r="AF10" s="696">
        <f>($E$12*$E$13+2*AE10*($E$12+$E$13)+PI()*AE10^2)/1000000</f>
        <v>0.38245099793070114</v>
      </c>
      <c r="AG10" s="90">
        <f>MIN(AF10,($E$12*$E$13+2*AE10*($E$12+$E$13)+AE10*E$14+E$15*(AE10-MAX(0,E$14))+0.75*PI()*AE10^2)/1000000)</f>
        <v>0.35853480822009509</v>
      </c>
      <c r="AH10" s="692">
        <f>(1000*AD10/AC10/G$22)/I$24</f>
        <v>0.84668490422183063</v>
      </c>
      <c r="AJ10" s="8"/>
      <c r="AK10" s="8"/>
      <c r="AL10" s="8"/>
      <c r="AM10" s="8"/>
      <c r="AN10" s="8"/>
    </row>
    <row r="11" spans="1:40" ht="15.75">
      <c r="A11" s="226"/>
      <c r="B11" s="279"/>
      <c r="C11" s="255"/>
      <c r="D11" s="255"/>
      <c r="E11" s="280"/>
      <c r="F11" s="255"/>
      <c r="G11" s="255"/>
      <c r="H11" s="255"/>
      <c r="I11" s="255"/>
      <c r="J11" s="255"/>
      <c r="K11" s="255"/>
      <c r="L11" s="278"/>
      <c r="M11" s="499"/>
      <c r="N11" s="114" t="s">
        <v>272</v>
      </c>
      <c r="O11" s="101">
        <f>MAX(3,CEILING((E13+O9+MIN(O9,E15-40))/1.5/G22+1,1))</f>
        <v>3</v>
      </c>
      <c r="P11" s="115" t="s">
        <v>2</v>
      </c>
      <c r="Q11" s="114" t="s">
        <v>280</v>
      </c>
      <c r="R11" s="101">
        <f>VLOOKUP(R13/S8*$G22/2,$AI1:$AJ7,2)</f>
        <v>8</v>
      </c>
      <c r="S11" s="51" t="s">
        <v>4</v>
      </c>
      <c r="T11" s="114" t="s">
        <v>280</v>
      </c>
      <c r="U11" s="101">
        <f>VLOOKUP(U13/V8*$G22/2,$AI1:$AJ7,2)</f>
        <v>8</v>
      </c>
      <c r="V11" s="51" t="s">
        <v>4</v>
      </c>
      <c r="Y11" s="89">
        <f>Y10*AH10</f>
        <v>392.37833108758582</v>
      </c>
      <c r="Z11" s="87">
        <f>2*PI()*Y11+2*($E$12+$E$13)</f>
        <v>4315.3857647451659</v>
      </c>
      <c r="AA11" s="87">
        <f>MIN(Z11,1.5*PI()*Y11+2*($E$12+$E$13)+E$14+E$15)</f>
        <v>3549.0393235588745</v>
      </c>
      <c r="AB11" s="87">
        <f>AB$9*Y11/Y$9</f>
        <v>0</v>
      </c>
      <c r="AC11" s="88">
        <f>AA11-AB11</f>
        <v>3549.0393235588745</v>
      </c>
      <c r="AD11" s="691">
        <f>(E$17-E$18*AG11-E$19/1000*(2*AE11-E$14-E$15))*G$19</f>
        <v>543.6752340609695</v>
      </c>
      <c r="AE11" s="89">
        <f>Y11-2*G$22</f>
        <v>32.378331087585821</v>
      </c>
      <c r="AF11" s="696">
        <f>($E$12*$E$13+2*AE11*($E$12+$E$13)+PI()*AE11^2)/1000000</f>
        <v>0.22069342103791101</v>
      </c>
      <c r="AG11" s="90">
        <f>MIN(AF11,($E$12*$E$13+2*AE11*($E$12+$E$13)+AE11*E$14+E$15*(AE11-MAX(0,E$14))+0.75*PI()*AE11^2)/1000000)</f>
        <v>0.21501329424330382</v>
      </c>
      <c r="AH11" s="692">
        <f>(1000*AD11/AC11/G$22)/I$24</f>
        <v>0.92736833272360719</v>
      </c>
      <c r="AJ11" s="8"/>
      <c r="AK11" s="8"/>
      <c r="AL11" s="8"/>
      <c r="AM11" s="8"/>
      <c r="AN11" s="8"/>
    </row>
    <row r="12" spans="1:40" ht="18">
      <c r="A12" s="226"/>
      <c r="B12" s="276" t="s">
        <v>24</v>
      </c>
      <c r="C12" s="249" t="s">
        <v>5</v>
      </c>
      <c r="D12" s="250" t="s">
        <v>4</v>
      </c>
      <c r="E12" s="251">
        <v>700</v>
      </c>
      <c r="F12" s="249" t="s">
        <v>7</v>
      </c>
      <c r="G12" s="250" t="s">
        <v>4</v>
      </c>
      <c r="H12" s="251">
        <v>0</v>
      </c>
      <c r="I12" s="255"/>
      <c r="J12" s="255"/>
      <c r="K12" s="255"/>
      <c r="L12" s="278"/>
      <c r="M12" s="233"/>
      <c r="N12" s="114" t="s">
        <v>273</v>
      </c>
      <c r="O12" s="101">
        <f>MAX(3,CEILING((E12+O9+MIN(O9,E14-40))/1.5/G22+1,1))</f>
        <v>4</v>
      </c>
      <c r="P12" s="115" t="s">
        <v>2</v>
      </c>
      <c r="Q12" s="52" t="s">
        <v>97</v>
      </c>
      <c r="R12" s="103">
        <f>IF(INTERNAL!AI9=INTERNAL!AI1,R11,INTERNAL!AI10)</f>
        <v>8</v>
      </c>
      <c r="S12" s="51" t="s">
        <v>4</v>
      </c>
      <c r="T12" s="52" t="s">
        <v>97</v>
      </c>
      <c r="U12" s="103">
        <f>IF(INTERNAL!AI9=INTERNAL!AI1,U11,INTERNAL!AI10)</f>
        <v>8</v>
      </c>
      <c r="V12" s="51" t="s">
        <v>4</v>
      </c>
      <c r="Y12" s="89">
        <f>Y11*AH11</f>
        <v>363.879238697566</v>
      </c>
      <c r="Z12" s="87">
        <f>2*PI()*Y12+2*($E$12+$E$13)</f>
        <v>4136.3206861722401</v>
      </c>
      <c r="AA12" s="87">
        <f>MIN(Z12,1.5*PI()*Y12+2*($E$12+$E$13)+E$14+E$15)</f>
        <v>3414.7405146291803</v>
      </c>
      <c r="AB12" s="87">
        <f>AB$9*Y12/Y$9</f>
        <v>0</v>
      </c>
      <c r="AC12" s="88">
        <f>AA12-AB12</f>
        <v>3414.7405146291803</v>
      </c>
      <c r="AD12" s="691">
        <f>(E$17-E$18*AG12-E$19/1000*(2*AE12-E$14-E$15))*G$19</f>
        <v>543.86493247419719</v>
      </c>
      <c r="AE12" s="89">
        <f>Y12-2*G$22</f>
        <v>3.8792386975659952</v>
      </c>
      <c r="AF12" s="696">
        <f>($E$12*$E$13+2*AE12*($E$12+$E$13)+PI()*AE12^2)/1000000</f>
        <v>0.16472386782515355</v>
      </c>
      <c r="AG12" s="90">
        <f>MIN(AF12,($E$12*$E$13+2*AE12*($E$12+$E$13)+AE12*E$14+E$15*(AE12-MAX(0,E$14))+0.75*PI()*AE12^2)/1000000)</f>
        <v>0.16413016296185454</v>
      </c>
      <c r="AH12" s="692">
        <f>(1000*AD12/AC12/G$22)/I$24</f>
        <v>0.96417723407894329</v>
      </c>
      <c r="AJ12" s="8"/>
    </row>
    <row r="13" spans="1:40" ht="18">
      <c r="A13" s="226"/>
      <c r="B13" s="279"/>
      <c r="C13" s="249" t="s">
        <v>6</v>
      </c>
      <c r="D13" s="250" t="s">
        <v>4</v>
      </c>
      <c r="E13" s="251">
        <v>225</v>
      </c>
      <c r="F13" s="249" t="s">
        <v>8</v>
      </c>
      <c r="G13" s="250" t="s">
        <v>4</v>
      </c>
      <c r="H13" s="251">
        <v>0</v>
      </c>
      <c r="I13" s="255"/>
      <c r="J13" s="255"/>
      <c r="K13" s="255"/>
      <c r="L13" s="278"/>
      <c r="M13" s="258" t="str">
        <f>IF(E8&gt;Refs!L12,Refs!G12,"√")</f>
        <v>√</v>
      </c>
      <c r="N13" s="114" t="s">
        <v>280</v>
      </c>
      <c r="O13" s="101">
        <f>VLOOKUP(MAX(O10,O15)/SUM(O11:O12,O18:O19)*$G22/2,AI1:AJ7,2)</f>
        <v>8</v>
      </c>
      <c r="P13" s="51" t="s">
        <v>4</v>
      </c>
      <c r="Q13" s="52" t="s">
        <v>113</v>
      </c>
      <c r="R13" s="105">
        <f>MAX(R10,($I25-0.75*$I24)/1.5/$Q4*$AC3)</f>
        <v>1.5518029057434546</v>
      </c>
      <c r="S13" s="51" t="s">
        <v>4</v>
      </c>
      <c r="T13" s="52" t="s">
        <v>113</v>
      </c>
      <c r="U13" s="105">
        <f>MAX(U10,($I25-0.75*$I24)/1.5/$Q4*$AC3)</f>
        <v>1.5518029057434546</v>
      </c>
      <c r="V13" s="51" t="s">
        <v>4</v>
      </c>
      <c r="Y13" s="695">
        <f>Y12*AH12</f>
        <v>350.84407790617075</v>
      </c>
      <c r="Z13" s="93">
        <f>2*PI()*Y13+2*($E$12+$E$13)</f>
        <v>4054.4183554110223</v>
      </c>
      <c r="AA13" s="93">
        <f>MIN(Z13,1.5*PI()*Y13+2*($E$12+$E$13)+E$14+E$15)</f>
        <v>3353.3137665582667</v>
      </c>
      <c r="AB13" s="93">
        <f>AB$9*Y13/Y$9</f>
        <v>0</v>
      </c>
      <c r="AC13" s="94">
        <f>AA13-AB13</f>
        <v>3353.3137665582667</v>
      </c>
      <c r="AD13" s="245">
        <f>(E$17-E$18*AG13-E$19/1000*(2*AE13-E$14-E$15))*G$19</f>
        <v>543.95169837131618</v>
      </c>
      <c r="AE13" s="95">
        <f>Y13-2*G$22</f>
        <v>-9.1559220938292469</v>
      </c>
      <c r="AF13" s="160">
        <f>($E$12*$E$13+2*AE13*($E$12+$E$13)+PI()*AE13^2)/1000000</f>
        <v>0.14082490669549383</v>
      </c>
      <c r="AG13" s="96">
        <f>MIN(AF13,($E$12*$E$13+2*AE13*($E$12+$E$13)+AE13*E$14+E$15*(AE13-MAX(0,E$14))+0.75*PI()*AE13^2)/1000000)</f>
        <v>0.14082490669549383</v>
      </c>
      <c r="AH13" s="693">
        <f>(1000*AD13/AC13/G$22)/I$24</f>
        <v>0.98199588574797225</v>
      </c>
      <c r="AJ13" s="8"/>
    </row>
    <row r="14" spans="1:40" ht="18">
      <c r="A14" s="226"/>
      <c r="B14" s="279"/>
      <c r="C14" s="249" t="s">
        <v>57</v>
      </c>
      <c r="D14" s="250" t="s">
        <v>4</v>
      </c>
      <c r="E14" s="251">
        <v>-150</v>
      </c>
      <c r="F14" s="249" t="s">
        <v>49</v>
      </c>
      <c r="G14" s="250" t="s">
        <v>4</v>
      </c>
      <c r="H14" s="251">
        <v>0</v>
      </c>
      <c r="I14" s="255"/>
      <c r="J14" s="255"/>
      <c r="K14" s="255"/>
      <c r="L14" s="278"/>
      <c r="M14" s="612"/>
      <c r="N14" s="114" t="s">
        <v>97</v>
      </c>
      <c r="O14" s="101">
        <f>IF(INTERNAL!AI9=INTERNAL!AI1,O13,INTERNAL!AI10)</f>
        <v>8</v>
      </c>
      <c r="P14" s="115" t="s">
        <v>4</v>
      </c>
      <c r="Q14" s="52" t="s">
        <v>111</v>
      </c>
      <c r="R14" s="104">
        <f>FLOOR(MIN(PI()/4*R12^2*S8/R13,0.75*$G22),5)</f>
        <v>135</v>
      </c>
      <c r="S14" s="51" t="s">
        <v>4</v>
      </c>
      <c r="T14" s="52" t="s">
        <v>111</v>
      </c>
      <c r="U14" s="104">
        <f>FLOOR(MIN(PI()/4*U12^2*V8/U13,0.75*$G22),5)</f>
        <v>135</v>
      </c>
      <c r="V14" s="51" t="s">
        <v>4</v>
      </c>
      <c r="AJ14" s="8"/>
      <c r="AK14" s="8"/>
      <c r="AL14" s="8"/>
      <c r="AM14" s="8"/>
      <c r="AN14" s="8"/>
    </row>
    <row r="15" spans="1:40" ht="18">
      <c r="A15" s="226"/>
      <c r="B15" s="279"/>
      <c r="C15" s="249" t="s">
        <v>56</v>
      </c>
      <c r="D15" s="250" t="s">
        <v>4</v>
      </c>
      <c r="E15" s="251">
        <v>0</v>
      </c>
      <c r="F15" s="249" t="s">
        <v>50</v>
      </c>
      <c r="G15" s="250" t="s">
        <v>4</v>
      </c>
      <c r="H15" s="251">
        <v>0</v>
      </c>
      <c r="I15" s="255"/>
      <c r="J15" s="255"/>
      <c r="K15" s="255"/>
      <c r="L15" s="278"/>
      <c r="M15" s="258" t="str">
        <f>IF(MAX(H12-E12/2,H13-E13/2)&gt;6*G22,"Hole not relevant - remove it.","√")</f>
        <v>√</v>
      </c>
      <c r="N15" s="114" t="s">
        <v>152</v>
      </c>
      <c r="O15" s="105">
        <f>0.08*SQRT(E8)/E9/1.5*AVERAGE(O21:P22)</f>
        <v>0.10468951597727233</v>
      </c>
      <c r="P15" s="115" t="s">
        <v>4</v>
      </c>
      <c r="Q15" s="52" t="s">
        <v>112</v>
      </c>
      <c r="R15" s="105">
        <f>PI()/4*R12^2*S8/R14</f>
        <v>2.9786952567369891</v>
      </c>
      <c r="S15" s="51" t="s">
        <v>4</v>
      </c>
      <c r="T15" s="52" t="s">
        <v>112</v>
      </c>
      <c r="U15" s="105">
        <f>PI()/4*U12^2*V8/U14</f>
        <v>4.0957059780133598</v>
      </c>
      <c r="V15" s="51" t="s">
        <v>4</v>
      </c>
      <c r="AA15" s="8" t="s">
        <v>52</v>
      </c>
      <c r="AB15" s="8" t="s">
        <v>54</v>
      </c>
      <c r="AI15" s="8"/>
      <c r="AJ15" s="8"/>
    </row>
    <row r="16" spans="1:40" ht="19.5">
      <c r="A16" s="226"/>
      <c r="B16" s="279"/>
      <c r="C16" s="249"/>
      <c r="D16" s="250"/>
      <c r="E16" s="251"/>
      <c r="F16" s="249"/>
      <c r="G16" s="250"/>
      <c r="H16" s="251"/>
      <c r="I16" s="255"/>
      <c r="J16" s="255"/>
      <c r="K16" s="255"/>
      <c r="L16" s="278"/>
      <c r="M16" s="235"/>
      <c r="N16" s="83"/>
      <c r="O16" s="83"/>
      <c r="P16" s="83"/>
      <c r="Q16" s="125" t="s">
        <v>158</v>
      </c>
      <c r="R16" s="130">
        <f>IF(SQRT($E12*$E13/PI())+$D34+R31&gt;$U6+$G22,R31,R32)</f>
        <v>-19.107314372337953</v>
      </c>
      <c r="S16" s="214" t="s">
        <v>4</v>
      </c>
      <c r="T16" s="215" t="s">
        <v>158</v>
      </c>
      <c r="U16" s="130">
        <f>IF(SQRT($E12*$E13/PI())+$D34+U31&gt;$U6+$G22,U31,U32)</f>
        <v>-23.42287022753726</v>
      </c>
      <c r="V16" s="48" t="s">
        <v>4</v>
      </c>
      <c r="X16" s="462" t="s">
        <v>3</v>
      </c>
      <c r="Y16" s="380" t="s">
        <v>239</v>
      </c>
      <c r="Z16" s="14" t="s">
        <v>51</v>
      </c>
      <c r="AA16" s="30" t="str">
        <f>IF(AND(OR(H12=E12/2,H12+H15=-E12/2),H13&lt;E13/2,H13+H14&gt;-E13/2),"Y","N")</f>
        <v>N</v>
      </c>
      <c r="AB16" s="31">
        <f>IF(AA16="Y",MIN(H14,E13/2+IF(H13&lt;0,H14+H13,-H13)),0)</f>
        <v>0</v>
      </c>
      <c r="AE16" s="2"/>
      <c r="AF16" s="153" t="s">
        <v>181</v>
      </c>
      <c r="AG16" s="154" t="s">
        <v>182</v>
      </c>
      <c r="AH16" s="154" t="s">
        <v>183</v>
      </c>
      <c r="AI16" s="155" t="s">
        <v>184</v>
      </c>
      <c r="AJ16" s="175" t="s">
        <v>203</v>
      </c>
      <c r="AK16" s="3" t="s">
        <v>388</v>
      </c>
    </row>
    <row r="17" spans="1:40" ht="19.5">
      <c r="A17" s="226"/>
      <c r="B17" s="276" t="s">
        <v>30</v>
      </c>
      <c r="C17" s="249" t="s">
        <v>74</v>
      </c>
      <c r="D17" s="250" t="s">
        <v>12</v>
      </c>
      <c r="E17" s="252">
        <v>458</v>
      </c>
      <c r="F17" s="249" t="s">
        <v>313</v>
      </c>
      <c r="G17" s="250" t="s">
        <v>303</v>
      </c>
      <c r="H17" s="252">
        <v>28.6</v>
      </c>
      <c r="I17" s="253"/>
      <c r="J17" s="350"/>
      <c r="K17" s="351"/>
      <c r="L17" s="278"/>
      <c r="M17" s="259"/>
      <c r="N17" s="114" t="s">
        <v>111</v>
      </c>
      <c r="O17" s="101">
        <f>FLOOR(MIN(PI()/4*O14^2*SUM(O11:O12,O18:O19)/MAX(O15,O10),0.75*$G22),5)</f>
        <v>135</v>
      </c>
      <c r="P17" s="115" t="s">
        <v>4</v>
      </c>
      <c r="Q17" s="125" t="s">
        <v>157</v>
      </c>
      <c r="R17" s="131">
        <f>R14*IF(R16-1.5*$G22/SIN(3*PI()/8)&lt;0,0,CEILING((R16-1.5*$G22/SIN(3*PI()/8))/R14,1))</f>
        <v>0</v>
      </c>
      <c r="S17" s="48" t="s">
        <v>4</v>
      </c>
      <c r="T17" s="125" t="s">
        <v>157</v>
      </c>
      <c r="U17" s="131">
        <f>U14*IF(U16-1.5*G22/SIN(5*PI()/12)&lt;0,0,CEILING((U16-1.5*G22/SIN(5*PI()/12))/U14,1))</f>
        <v>0</v>
      </c>
      <c r="V17" s="48" t="s">
        <v>4</v>
      </c>
      <c r="X17" s="97">
        <v>1</v>
      </c>
      <c r="Y17" s="369">
        <f>1000*(E$17-E$18*AG3)*G$19/AC3/G$22</f>
        <v>0.89045321502572239</v>
      </c>
      <c r="Z17" s="14" t="s">
        <v>53</v>
      </c>
      <c r="AA17" s="32" t="str">
        <f>IF(AND(OR(H13=E13/2,H13+H14=-E13/2),H12&lt;E12/2,H12+H15&gt;-E12/2),"Y","N")</f>
        <v>N</v>
      </c>
      <c r="AB17" s="28">
        <f>IF(AA17="Y",MIN(H15,E12/2+IF(H12&lt;0,H15+H12,-H15)),0)</f>
        <v>0</v>
      </c>
      <c r="AE17" s="1" t="s">
        <v>185</v>
      </c>
      <c r="AF17" s="71">
        <v>-100</v>
      </c>
      <c r="AG17" s="67">
        <v>1400</v>
      </c>
      <c r="AH17" s="67">
        <v>-100</v>
      </c>
      <c r="AI17" s="68">
        <v>1400</v>
      </c>
      <c r="AJ17" s="176">
        <v>650</v>
      </c>
      <c r="AK17" s="3">
        <v>0</v>
      </c>
    </row>
    <row r="18" spans="1:40">
      <c r="A18" s="226"/>
      <c r="B18" s="279"/>
      <c r="C18" s="249" t="s">
        <v>11</v>
      </c>
      <c r="D18" s="250" t="s">
        <v>26</v>
      </c>
      <c r="E18" s="254">
        <v>0</v>
      </c>
      <c r="F18" s="249" t="s">
        <v>314</v>
      </c>
      <c r="G18" s="250" t="s">
        <v>303</v>
      </c>
      <c r="H18" s="252">
        <v>14.8</v>
      </c>
      <c r="I18" s="728" t="str">
        <f>IF(MAX(E12/E13,E13/E12)&gt;4,"This is a wall",".")</f>
        <v>.</v>
      </c>
      <c r="J18" s="728"/>
      <c r="K18" s="728"/>
      <c r="L18" s="729"/>
      <c r="M18" s="233"/>
      <c r="N18" s="114" t="s">
        <v>274</v>
      </c>
      <c r="O18" s="101">
        <f>MAX(3,CEILING((E13+2*O9)/1.5/G22+1,1))</f>
        <v>3</v>
      </c>
      <c r="P18" s="115" t="s">
        <v>2</v>
      </c>
      <c r="Q18" s="125" t="s">
        <v>159</v>
      </c>
      <c r="R18" s="130">
        <f>1.5*$G22/SIN(3*PI()/8)+R17</f>
        <v>292.24589407894638</v>
      </c>
      <c r="S18" s="48" t="s">
        <v>4</v>
      </c>
      <c r="T18" s="125" t="s">
        <v>159</v>
      </c>
      <c r="U18" s="130">
        <f>1.5*G22/SIN(5*PI()/12)+U17</f>
        <v>279.52456871072241</v>
      </c>
      <c r="V18" s="48" t="s">
        <v>4</v>
      </c>
      <c r="X18" s="83"/>
      <c r="Y18" s="83"/>
      <c r="AE18" s="1" t="s">
        <v>186</v>
      </c>
      <c r="AF18" s="72">
        <v>500</v>
      </c>
      <c r="AG18" s="69">
        <v>500</v>
      </c>
      <c r="AH18" s="69">
        <v>1000</v>
      </c>
      <c r="AI18" s="70">
        <v>1000</v>
      </c>
      <c r="AJ18" s="178">
        <v>750</v>
      </c>
      <c r="AK18" s="3">
        <v>0</v>
      </c>
      <c r="AL18" s="8"/>
      <c r="AM18" s="8"/>
      <c r="AN18" s="8"/>
    </row>
    <row r="19" spans="1:40" ht="18">
      <c r="A19" s="226"/>
      <c r="B19" s="282"/>
      <c r="C19" s="249" t="s">
        <v>415</v>
      </c>
      <c r="D19" s="250" t="s">
        <v>414</v>
      </c>
      <c r="E19" s="254">
        <f>EDGE!E19</f>
        <v>2.8</v>
      </c>
      <c r="F19" s="689" t="s">
        <v>304</v>
      </c>
      <c r="G19" s="533">
        <f>IF(O3=O2,K57,1.275)</f>
        <v>1.1886244019357219</v>
      </c>
      <c r="H19" s="17" t="str">
        <f>IF(O3=O2,L57,"braced structure, adjacent spans differ no more than 25%")</f>
        <v>to expressions (6.39) &amp; (6.44)</v>
      </c>
      <c r="I19" s="255"/>
      <c r="J19" s="255"/>
      <c r="K19" s="255"/>
      <c r="L19" s="278"/>
      <c r="M19" s="236"/>
      <c r="N19" s="114" t="s">
        <v>275</v>
      </c>
      <c r="O19" s="101">
        <f>MAX(3,CEILING((E12+2*O9)/1.5/G22+1,1))</f>
        <v>4</v>
      </c>
      <c r="P19" s="115" t="s">
        <v>2</v>
      </c>
      <c r="Q19" s="47" t="s">
        <v>114</v>
      </c>
      <c r="R19" s="140">
        <f>SQRT(R9^2+R9*R17*SQRT(2)+R17^2*(2-SQRT(2)))</f>
        <v>266.59801136363637</v>
      </c>
      <c r="S19" s="48" t="s">
        <v>4</v>
      </c>
      <c r="T19" s="47" t="s">
        <v>114</v>
      </c>
      <c r="U19" s="140">
        <f>SQRT((U9+U17/2)^2+(U17-U17*COS(PI()/6))^2)</f>
        <v>220.36258161589132</v>
      </c>
      <c r="V19" s="48" t="s">
        <v>4</v>
      </c>
      <c r="X19" s="460" t="s">
        <v>204</v>
      </c>
      <c r="Y19" s="77"/>
      <c r="Z19" s="2"/>
      <c r="AA19" s="3"/>
      <c r="AB19" s="3"/>
      <c r="AG19" s="8"/>
      <c r="AH19" s="8"/>
      <c r="AI19" s="8"/>
      <c r="AJ19" s="8"/>
      <c r="AK19" s="8"/>
      <c r="AL19" s="8"/>
      <c r="AM19" s="8"/>
      <c r="AN19" s="8"/>
    </row>
    <row r="20" spans="1:40" ht="19.5">
      <c r="A20" s="226"/>
      <c r="B20" s="276" t="s">
        <v>25</v>
      </c>
      <c r="C20" s="16"/>
      <c r="D20" s="16"/>
      <c r="E20" s="249" t="s">
        <v>356</v>
      </c>
      <c r="F20" s="250" t="s">
        <v>4</v>
      </c>
      <c r="G20" s="251">
        <f>D21-25-10</f>
        <v>190</v>
      </c>
      <c r="H20" s="249" t="s">
        <v>357</v>
      </c>
      <c r="I20" s="250" t="s">
        <v>29</v>
      </c>
      <c r="J20" s="283">
        <v>3140</v>
      </c>
      <c r="K20" s="492" t="s">
        <v>79</v>
      </c>
      <c r="L20" s="497" t="str">
        <f>"ρx = "&amp;FIXED(J20/G20/10,3)</f>
        <v>ρx = 1.653</v>
      </c>
      <c r="M20" s="258"/>
      <c r="N20" s="114" t="s">
        <v>112</v>
      </c>
      <c r="O20" s="105">
        <f>PI()/4*O14^2*SUM(O11:O12,O18:O19)/O17</f>
        <v>5.2127166992897305</v>
      </c>
      <c r="P20" s="115" t="s">
        <v>4</v>
      </c>
      <c r="Q20" s="47" t="s">
        <v>115</v>
      </c>
      <c r="R20" s="106" t="str">
        <f>IF(R19&gt;2*$G22,"INVALID", "VALID")</f>
        <v>VALID</v>
      </c>
      <c r="T20" s="47" t="s">
        <v>115</v>
      </c>
      <c r="U20" s="106" t="str">
        <f>IF(U19&gt;2*$G22,"INVALID", "VALID")</f>
        <v>VALID</v>
      </c>
      <c r="V20" s="61"/>
      <c r="X20" s="2"/>
      <c r="Y20" s="153" t="s">
        <v>181</v>
      </c>
      <c r="Z20" s="154" t="s">
        <v>182</v>
      </c>
      <c r="AA20" s="154" t="s">
        <v>183</v>
      </c>
      <c r="AB20" s="155" t="s">
        <v>184</v>
      </c>
      <c r="AC20" s="175" t="s">
        <v>203</v>
      </c>
      <c r="AD20" s="3" t="str">
        <f>IF(IF(AC21=0,10000000000,ABS(AC22/AC21))&lt;=1,"EW","NS")</f>
        <v>NS</v>
      </c>
      <c r="AG20" s="8"/>
      <c r="AH20" s="8"/>
      <c r="AI20" s="8"/>
      <c r="AJ20" s="8"/>
      <c r="AK20" s="8"/>
      <c r="AL20" s="8"/>
      <c r="AM20" s="8"/>
      <c r="AN20" s="8"/>
    </row>
    <row r="21" spans="1:40" ht="16.5" customHeight="1">
      <c r="A21" s="226"/>
      <c r="B21" s="493" t="s">
        <v>10</v>
      </c>
      <c r="C21" s="250" t="s">
        <v>4</v>
      </c>
      <c r="D21" s="251">
        <v>225</v>
      </c>
      <c r="E21" s="249" t="s">
        <v>27</v>
      </c>
      <c r="F21" s="250" t="s">
        <v>4</v>
      </c>
      <c r="G21" s="251">
        <f>G20-20</f>
        <v>170</v>
      </c>
      <c r="H21" s="249" t="s">
        <v>28</v>
      </c>
      <c r="I21" s="250" t="s">
        <v>29</v>
      </c>
      <c r="J21" s="283">
        <v>3140</v>
      </c>
      <c r="K21" s="492" t="s">
        <v>80</v>
      </c>
      <c r="L21" s="497" t="str">
        <f>"ρy = "&amp;FIXED(J21/G21/10,3)</f>
        <v>ρy = 1.847</v>
      </c>
      <c r="M21" s="746" t="str">
        <f>IF(MAX(E12:E13)&gt;4*G22,"Column size &gt; 4d. For a conservative solution, consider reducing to 4d, using CALCULATE ß option and adding side spurs as required","√")</f>
        <v>√</v>
      </c>
      <c r="N21" s="113" t="s">
        <v>276</v>
      </c>
      <c r="O21" s="101">
        <f>FLOOR((E13+O9+MIN(O9,E15-40))/(O11-1),1)</f>
        <v>110</v>
      </c>
      <c r="P21" s="116">
        <f>FLOOR((E13+2*O9)/(O18-1),1)</f>
        <v>147</v>
      </c>
      <c r="Q21" s="36" t="s">
        <v>160</v>
      </c>
      <c r="R21" s="108">
        <f>G22*(3*TAN(PI()/8)+2)</f>
        <v>583.67532368147135</v>
      </c>
      <c r="S21" s="60" t="s">
        <v>4</v>
      </c>
      <c r="T21" s="36" t="s">
        <v>160</v>
      </c>
      <c r="U21" s="108">
        <f>G22*(3*TAN(PI()/12)+2)</f>
        <v>504.69256391280624</v>
      </c>
      <c r="V21" s="60" t="s">
        <v>4</v>
      </c>
      <c r="X21" s="1" t="s">
        <v>185</v>
      </c>
      <c r="Y21" s="71">
        <f>IF(H12-AD21=0,0.0000000001,H12-AD21)</f>
        <v>1E-10</v>
      </c>
      <c r="Z21" s="67">
        <f>IF(H12+H15+AD21=0,0.0000000001,H12+H15+AD21)</f>
        <v>1E-10</v>
      </c>
      <c r="AA21" s="67">
        <f>Y21</f>
        <v>1E-10</v>
      </c>
      <c r="AB21" s="68">
        <f>Z21</f>
        <v>1E-10</v>
      </c>
      <c r="AC21" s="176">
        <f>H12+H15/2</f>
        <v>0</v>
      </c>
      <c r="AD21" s="3">
        <f>IF(AND(AD20="NS",H14&gt;H15),(SQRT(H15*H14)-MIN(H15,H14))/2,0)</f>
        <v>0</v>
      </c>
      <c r="AG21" s="8"/>
      <c r="AH21" s="8"/>
      <c r="AI21" s="8"/>
      <c r="AJ21" s="8"/>
      <c r="AK21" s="8"/>
      <c r="AL21" s="8"/>
      <c r="AM21" s="8"/>
      <c r="AN21" s="8"/>
    </row>
    <row r="22" spans="1:40" ht="16.5" customHeight="1">
      <c r="A22" s="226"/>
      <c r="B22" s="279"/>
      <c r="C22" s="257"/>
      <c r="D22" s="257"/>
      <c r="E22" s="249" t="s">
        <v>90</v>
      </c>
      <c r="F22" s="250" t="s">
        <v>4</v>
      </c>
      <c r="G22" s="284">
        <f>(G20+G21)/2</f>
        <v>180</v>
      </c>
      <c r="H22" s="249"/>
      <c r="I22" s="16"/>
      <c r="J22" s="16"/>
      <c r="K22" s="249" t="s">
        <v>265</v>
      </c>
      <c r="L22" s="702">
        <f>MAX(IF(γRC&lt;22,0.5,0),MIN(2,SQRT(J20/G20*J21/G21)/10))</f>
        <v>1.7471427359944236</v>
      </c>
      <c r="M22" s="746"/>
      <c r="N22" s="113" t="s">
        <v>277</v>
      </c>
      <c r="O22" s="101">
        <f>FLOOR((E12+O9+MIN(O9,E14-40))/(O12-1),1)</f>
        <v>181</v>
      </c>
      <c r="P22" s="116">
        <f>FLOOR((E12+2*O9)/(O19-1),1)</f>
        <v>256</v>
      </c>
      <c r="Q22" s="36" t="s">
        <v>158</v>
      </c>
      <c r="R22" s="107">
        <f>SQRT(2)*(R21*COS(PI()/8)-R9)</f>
        <v>385.58203806229085</v>
      </c>
      <c r="S22" s="60" t="s">
        <v>4</v>
      </c>
      <c r="T22" s="36" t="s">
        <v>158</v>
      </c>
      <c r="U22" s="107">
        <f>2*(U21*COS(PI()/12)-U9)</f>
        <v>534.26600040706899</v>
      </c>
      <c r="V22" s="60" t="s">
        <v>4</v>
      </c>
      <c r="X22" s="1" t="s">
        <v>186</v>
      </c>
      <c r="Y22" s="72">
        <f>IF(H13-AD22=0,0.0000000001,H13-AD22)</f>
        <v>1E-10</v>
      </c>
      <c r="Z22" s="69">
        <f>Y22</f>
        <v>1E-10</v>
      </c>
      <c r="AA22" s="69">
        <f>IF(H13+H14+AD22=0,0.0000000001,H13+H14+AD22)</f>
        <v>1E-10</v>
      </c>
      <c r="AB22" s="70">
        <f>AA22</f>
        <v>1E-10</v>
      </c>
      <c r="AC22" s="178">
        <f>H13+H14/2</f>
        <v>0</v>
      </c>
      <c r="AD22" s="3">
        <f>IF(AND(AD20="EW",H15&gt;H14),(SQRT(H15*H14)-MIN(H15,H14))/2,0)</f>
        <v>0</v>
      </c>
      <c r="AG22" s="8"/>
      <c r="AH22" s="8"/>
      <c r="AI22" s="8"/>
      <c r="AJ22" s="8"/>
      <c r="AK22" s="8"/>
      <c r="AL22" s="8"/>
      <c r="AM22" s="8"/>
      <c r="AN22" s="8"/>
    </row>
    <row r="23" spans="1:40" ht="16.5" customHeight="1">
      <c r="A23" s="226"/>
      <c r="B23" s="279"/>
      <c r="C23" s="257"/>
      <c r="D23" s="257"/>
      <c r="E23" s="257"/>
      <c r="F23" s="255"/>
      <c r="G23" s="255"/>
      <c r="H23" s="255"/>
      <c r="I23" s="255"/>
      <c r="J23" s="255"/>
      <c r="K23" s="255"/>
      <c r="L23" s="278"/>
      <c r="M23" s="746"/>
      <c r="N23" s="113"/>
      <c r="O23" s="102"/>
      <c r="P23" s="115"/>
      <c r="Q23" s="36" t="s">
        <v>157</v>
      </c>
      <c r="R23" s="108">
        <f>CEILING(R22-1.5*G22/SIN(3*PI()/8),R14)</f>
        <v>135</v>
      </c>
      <c r="S23" s="60" t="s">
        <v>4</v>
      </c>
      <c r="T23" s="36" t="s">
        <v>157</v>
      </c>
      <c r="U23" s="108">
        <f>CEILING(U22-1.5*G22/SIN(5*PI()/12),U14)</f>
        <v>270</v>
      </c>
      <c r="V23" s="60" t="s">
        <v>4</v>
      </c>
      <c r="X23" s="1"/>
      <c r="Y23" s="629"/>
      <c r="Z23" s="2"/>
      <c r="AA23" s="1"/>
      <c r="AB23" s="156"/>
      <c r="AF23" s="8"/>
      <c r="AG23" s="8"/>
      <c r="AH23" s="8"/>
      <c r="AI23" s="8"/>
      <c r="AJ23" s="8"/>
      <c r="AK23" s="8"/>
      <c r="AL23" s="8"/>
      <c r="AM23" s="8"/>
      <c r="AN23" s="8"/>
    </row>
    <row r="24" spans="1:40" ht="19.5">
      <c r="A24" s="226"/>
      <c r="B24" s="276" t="s">
        <v>31</v>
      </c>
      <c r="C24" s="249" t="s">
        <v>242</v>
      </c>
      <c r="D24" s="285">
        <f>E17*G19</f>
        <v>544.38997608656064</v>
      </c>
      <c r="E24" s="256" t="s">
        <v>12</v>
      </c>
      <c r="F24" s="255"/>
      <c r="G24" s="255"/>
      <c r="H24" s="249" t="s">
        <v>347</v>
      </c>
      <c r="I24" s="701">
        <f>MAX(Refs!D10/Refs!D7*Refs!D15*O6*(L22*E8)^0.3333333,Refs!D15*Refs!D11*O6^1.5*SQRT(E8))</f>
        <v>0.91770684676557834</v>
      </c>
      <c r="J24" s="253" t="s">
        <v>22</v>
      </c>
      <c r="K24" s="255"/>
      <c r="L24" s="327" t="s">
        <v>217</v>
      </c>
      <c r="M24" s="614"/>
      <c r="N24" s="113"/>
      <c r="O24" s="102"/>
      <c r="P24" s="115"/>
      <c r="Q24" s="58" t="s">
        <v>100</v>
      </c>
      <c r="R24" s="108">
        <f>6*G22*(3*TAN(PI()/8)+2)+E13/2+E15+E12/2+E14</f>
        <v>3814.5519420888281</v>
      </c>
      <c r="S24" s="60" t="s">
        <v>4</v>
      </c>
      <c r="T24" s="58" t="s">
        <v>100</v>
      </c>
      <c r="U24" s="108">
        <f>9*G22*(3*TAN(PI()/12)+2)+E13/2+E15+E12/2+E14</f>
        <v>4854.7330752152557</v>
      </c>
      <c r="V24" s="60" t="s">
        <v>4</v>
      </c>
      <c r="X24" s="7" t="s">
        <v>178</v>
      </c>
      <c r="Y24" s="7" t="s">
        <v>179</v>
      </c>
      <c r="Z24" s="7" t="s">
        <v>189</v>
      </c>
      <c r="AA24" s="111" t="s">
        <v>190</v>
      </c>
      <c r="AB24" s="7" t="s">
        <v>180</v>
      </c>
      <c r="AC24" s="3"/>
      <c r="AD24" s="3"/>
      <c r="AE24" s="3"/>
      <c r="AF24" s="8"/>
      <c r="AG24" s="8"/>
      <c r="AH24" s="8"/>
      <c r="AI24" s="8"/>
      <c r="AJ24" s="8"/>
      <c r="AK24" s="8"/>
      <c r="AL24" s="8"/>
      <c r="AM24" s="8"/>
      <c r="AN24" s="8"/>
    </row>
    <row r="25" spans="1:40" ht="19.5">
      <c r="A25" s="226"/>
      <c r="B25" s="279"/>
      <c r="C25" s="249" t="str">
        <f>IF(U2&gt;U1,T2,T1)</f>
        <v>At col. face, vEd =</v>
      </c>
      <c r="D25" s="287">
        <f>MAX(U1:U2)</f>
        <v>1.7790522094332046</v>
      </c>
      <c r="E25" s="253" t="s">
        <v>22</v>
      </c>
      <c r="F25" s="255"/>
      <c r="G25" s="255"/>
      <c r="H25" s="249" t="s">
        <v>348</v>
      </c>
      <c r="I25" s="286">
        <f>Y17</f>
        <v>0.89045321502572239</v>
      </c>
      <c r="J25" s="253" t="s">
        <v>22</v>
      </c>
      <c r="K25" s="564">
        <f>I25/I24/Refs!D13</f>
        <v>0.48515123220671702</v>
      </c>
      <c r="L25" s="281"/>
      <c r="M25" s="258" t="str">
        <f>IF(D25&gt;IF(γRC&lt;22,0.4,Refs!D14)*O4*O5,"VEd too great","√")</f>
        <v>√</v>
      </c>
      <c r="N25" s="114" t="s">
        <v>110</v>
      </c>
      <c r="O25" s="101">
        <f>O17+D34</f>
        <v>225</v>
      </c>
      <c r="P25" s="116" t="s">
        <v>109</v>
      </c>
      <c r="Q25" s="52" t="s">
        <v>110</v>
      </c>
      <c r="R25" s="101">
        <f>R14+$D34</f>
        <v>225</v>
      </c>
      <c r="S25" s="56" t="s">
        <v>109</v>
      </c>
      <c r="T25" s="52" t="s">
        <v>110</v>
      </c>
      <c r="U25" s="101">
        <f>U14+$D34</f>
        <v>225</v>
      </c>
      <c r="V25" s="56" t="s">
        <v>109</v>
      </c>
      <c r="X25" s="143">
        <f>Y3+E$12/2</f>
        <v>710</v>
      </c>
      <c r="Y25" s="64">
        <f>Y3+E$13/2</f>
        <v>472.5</v>
      </c>
      <c r="Z25" s="144">
        <f>E$12/2/Y25</f>
        <v>0.7407407407407407</v>
      </c>
      <c r="AA25" s="161">
        <f>E$13/2/X25</f>
        <v>0.15845070422535212</v>
      </c>
      <c r="AB25" s="169">
        <f>IF(Q$6="NO",0,SUM(X35:AI35))</f>
        <v>0</v>
      </c>
      <c r="AC25" s="3"/>
      <c r="AD25" s="3"/>
      <c r="AE25" s="3"/>
      <c r="AG25" s="8"/>
      <c r="AH25" s="8"/>
      <c r="AI25" s="8"/>
      <c r="AJ25" s="8"/>
      <c r="AK25" s="8"/>
      <c r="AL25" s="8"/>
      <c r="AM25" s="8"/>
      <c r="AN25" s="8"/>
    </row>
    <row r="26" spans="1:40" ht="16.5" customHeight="1">
      <c r="A26" s="226"/>
      <c r="B26" s="279"/>
      <c r="C26" s="249"/>
      <c r="D26" s="24"/>
      <c r="E26" s="253"/>
      <c r="F26" s="255"/>
      <c r="G26" s="255"/>
      <c r="H26" s="249" t="s">
        <v>416</v>
      </c>
      <c r="I26" s="21">
        <f>IF(I25&gt;I24,AC4,2*(E12+E13)+MIN(0,E14)+MIN(0,E15))</f>
        <v>1700</v>
      </c>
      <c r="J26" s="725" t="str">
        <f>"(≈ "&amp;FIXED(Y4,0)&amp;" from col face)"</f>
        <v>(≈ 352 from col face)</v>
      </c>
      <c r="K26" s="725"/>
      <c r="L26" s="327" t="s">
        <v>218</v>
      </c>
      <c r="M26" s="258" t="str">
        <f>IF(K25&gt;1,"VEd/VRdc too great","√")</f>
        <v>√</v>
      </c>
      <c r="N26" s="113" t="s">
        <v>108</v>
      </c>
      <c r="O26" s="503">
        <f>MAX(O25,CEILING((2*G22/SQRT(2)+O9-D34),O17)+D34)</f>
        <v>360</v>
      </c>
      <c r="P26" s="116" t="s">
        <v>102</v>
      </c>
      <c r="Q26" s="49" t="s">
        <v>108</v>
      </c>
      <c r="R26" s="141">
        <f>IF(R20="VALID",R17,R23)+D34</f>
        <v>90</v>
      </c>
      <c r="S26" s="56" t="s">
        <v>102</v>
      </c>
      <c r="T26" s="49" t="s">
        <v>108</v>
      </c>
      <c r="U26" s="221">
        <f>U17+D34</f>
        <v>90</v>
      </c>
      <c r="V26" s="56" t="s">
        <v>102</v>
      </c>
      <c r="X26" s="146">
        <f>Y9+E$12/2</f>
        <v>1070</v>
      </c>
      <c r="Y26" s="66">
        <f>Y9+E$13/2</f>
        <v>832.5</v>
      </c>
      <c r="Z26" s="147">
        <f>E$12/2/Y26</f>
        <v>0.42042042042042044</v>
      </c>
      <c r="AA26" s="162">
        <f>E$13/2/X26</f>
        <v>0.10514018691588785</v>
      </c>
      <c r="AB26" s="170">
        <f>IF(Q$6="NO",0,SUM(X36:AI36))</f>
        <v>0</v>
      </c>
      <c r="AC26" s="157">
        <f>AB26/AA9</f>
        <v>0</v>
      </c>
      <c r="AD26" s="5" t="s">
        <v>191</v>
      </c>
      <c r="AE26" s="158">
        <f>1-AC26</f>
        <v>1</v>
      </c>
      <c r="AG26" s="8"/>
      <c r="AH26" s="8"/>
      <c r="AI26" s="8"/>
      <c r="AJ26" s="8"/>
      <c r="AK26" s="8"/>
      <c r="AL26" s="8"/>
      <c r="AM26" s="8"/>
      <c r="AN26" s="8"/>
    </row>
    <row r="27" spans="1:40" ht="16.5" customHeight="1">
      <c r="A27" s="226"/>
      <c r="B27" s="288"/>
      <c r="C27" s="257"/>
      <c r="D27" s="257"/>
      <c r="E27" s="257"/>
      <c r="F27" s="257"/>
      <c r="G27" s="257"/>
      <c r="H27" s="257"/>
      <c r="I27" s="257"/>
      <c r="J27" s="257"/>
      <c r="K27" s="256"/>
      <c r="L27" s="289"/>
      <c r="M27" s="613"/>
      <c r="N27" s="114" t="s">
        <v>100</v>
      </c>
      <c r="O27" s="103">
        <f>2*(E12+E13)+6*O9+G22*(6+2.25*PI())+MIN(E15,3/8*PI()*G22-O9)+MIN(E14,3/8*PI()*G22-O9)</f>
        <v>4262.3450247038663</v>
      </c>
      <c r="P27" s="115" t="s">
        <v>4</v>
      </c>
      <c r="Q27" s="114" t="s">
        <v>100</v>
      </c>
      <c r="R27" s="103">
        <f>IF(R20="VALID",R33,R24)</f>
        <v>3230.9293225597594</v>
      </c>
      <c r="S27" s="115" t="s">
        <v>4</v>
      </c>
      <c r="T27" s="114" t="s">
        <v>100</v>
      </c>
      <c r="U27" s="219">
        <f>U33</f>
        <v>3571.1011173744273</v>
      </c>
      <c r="V27" s="51" t="s">
        <v>4</v>
      </c>
      <c r="X27" s="146">
        <f>Y5+E$12/2</f>
        <v>350.00000000000102</v>
      </c>
      <c r="Y27" s="66">
        <f>Y5+E$13/2</f>
        <v>112.50000000000099</v>
      </c>
      <c r="Z27" s="147">
        <f>E$12/2/Y27</f>
        <v>3.1111111111110836</v>
      </c>
      <c r="AA27" s="162">
        <f>E$13/2/X27</f>
        <v>0.32142857142857051</v>
      </c>
      <c r="AB27" s="170">
        <f>IF(Q$6="NO",0,SUM(X37:AI37))</f>
        <v>0</v>
      </c>
      <c r="AC27" s="3"/>
      <c r="AD27" s="3"/>
      <c r="AE27" s="3"/>
      <c r="AG27" s="8"/>
      <c r="AH27" s="8"/>
      <c r="AI27" s="8"/>
      <c r="AJ27" s="8"/>
      <c r="AK27" s="8"/>
      <c r="AL27" s="8"/>
      <c r="AM27" s="8"/>
      <c r="AN27" s="8"/>
    </row>
    <row r="28" spans="1:40" ht="18">
      <c r="A28" s="226"/>
      <c r="B28" s="623" t="str">
        <f>IF(I24&gt;=I25,"No links required","SOLUTION ")</f>
        <v>No links required</v>
      </c>
      <c r="C28" s="331" t="str">
        <f>"Fig 6.22 ("&amp;IF(O28=1,"B","A")&amp;")"</f>
        <v>Fig 6.22 (B)</v>
      </c>
      <c r="D28" s="489"/>
      <c r="E28" s="255" t="str">
        <f>INTERNAL!E28</f>
        <v>.</v>
      </c>
      <c r="F28" s="255"/>
      <c r="G28" s="257"/>
      <c r="H28" s="257"/>
      <c r="I28" s="255"/>
      <c r="J28" s="255"/>
      <c r="K28" s="255"/>
      <c r="L28" s="278"/>
      <c r="M28" s="613"/>
      <c r="N28" s="464" t="str">
        <f>IF(O28=0,"No solution","ok")</f>
        <v>ok</v>
      </c>
      <c r="O28" s="109">
        <f>IF(OR(O27&lt;$I26,O14=0,O13&gt;O14,INTERNAL!AJ3=INTERNAL!AJ1),0,1)</f>
        <v>1</v>
      </c>
      <c r="P28" s="51"/>
      <c r="Q28" s="464" t="str">
        <f>IF(R28=0,"No solution","ok")</f>
        <v>No solution</v>
      </c>
      <c r="R28" s="109">
        <f>IF(OR(R27&lt;$I26,S28&gt;1.5*$G22,R11&gt;R12),0,1)</f>
        <v>0</v>
      </c>
      <c r="S28" s="213">
        <f>SQRT((R9+R14*SIN(PI()/4))^2+(R14*(1-COS(PI()/4)))^2)</f>
        <v>364.21015656353723</v>
      </c>
      <c r="T28" s="464" t="str">
        <f>IF(U28=0,"No solution","ok")</f>
        <v>No solution</v>
      </c>
      <c r="U28" s="109">
        <f>IF(OR(U27&lt;$I26,V28&gt;1.5*$G22,U11&gt;U12),0,IF(U20="INVALID",2,1))</f>
        <v>0</v>
      </c>
      <c r="V28" s="213">
        <f>SQRT((U9+U14*SIN(PI()/6))^2+(U14*(1-COS(PI()/6)))^2)*IF(U20="INVALID",0.5,1)</f>
        <v>288.43021673642812</v>
      </c>
      <c r="X28" s="149">
        <f>Y6+E$12/2</f>
        <v>350</v>
      </c>
      <c r="Y28" s="150">
        <f>Y6+E$13/2</f>
        <v>112.5</v>
      </c>
      <c r="Z28" s="151">
        <f>E$12/2/Y28</f>
        <v>3.1111111111111112</v>
      </c>
      <c r="AA28" s="163">
        <f>E$13/2/X28</f>
        <v>0.32142857142857145</v>
      </c>
      <c r="AB28" s="171">
        <f>IF(Q$6="NO",0,SUM(X38:AI38))</f>
        <v>0</v>
      </c>
      <c r="AG28" s="8"/>
      <c r="AH28" s="8"/>
      <c r="AI28" s="8"/>
      <c r="AJ28" s="8"/>
      <c r="AK28" s="8"/>
      <c r="AL28" s="8"/>
      <c r="AM28" s="8"/>
      <c r="AN28" s="8"/>
    </row>
    <row r="29" spans="1:40" ht="18">
      <c r="A29" s="226"/>
      <c r="B29" s="288"/>
      <c r="C29" s="325" t="str">
        <f>O32&amp;" link spurs of "&amp;O30&amp;R1&amp;O33</f>
        <v>14 link spurs of 3H8 @ 135</v>
      </c>
      <c r="D29" s="255"/>
      <c r="E29" s="255"/>
      <c r="F29" s="255"/>
      <c r="G29" s="356">
        <f>IF(O28=1,O18+O19+O11+O12,IF(R28=1,S8,V8))*O30+IF(AND(O28+R28=0,U28=2),9*U35,0)</f>
        <v>42</v>
      </c>
      <c r="H29" s="357" t="s">
        <v>119</v>
      </c>
      <c r="I29" s="255"/>
      <c r="J29" s="255"/>
      <c r="K29" s="255"/>
      <c r="L29" s="278"/>
      <c r="M29" s="358"/>
      <c r="N29" s="14" t="s">
        <v>117</v>
      </c>
      <c r="O29" s="110">
        <f>(O26-D34)/O17+1</f>
        <v>3</v>
      </c>
      <c r="P29" s="51" t="s">
        <v>118</v>
      </c>
      <c r="Q29" s="14" t="s">
        <v>117</v>
      </c>
      <c r="R29" s="110">
        <f>(R26-D34)/R14+1</f>
        <v>1</v>
      </c>
      <c r="S29" s="51" t="s">
        <v>118</v>
      </c>
      <c r="T29" s="14" t="s">
        <v>117</v>
      </c>
      <c r="U29" s="220">
        <f>(U26-$D34)/U14+1</f>
        <v>1</v>
      </c>
      <c r="V29" s="51" t="s">
        <v>118</v>
      </c>
      <c r="X29" s="2"/>
      <c r="Y29" s="2"/>
      <c r="Z29" s="2"/>
      <c r="AA29" s="2"/>
      <c r="AB29" s="2"/>
      <c r="AG29" s="8"/>
      <c r="AH29" s="8"/>
      <c r="AI29" s="8"/>
    </row>
    <row r="30" spans="1:40" ht="18">
      <c r="A30" s="226"/>
      <c r="B30" s="291"/>
      <c r="C30" s="326" t="str">
        <f>IF(AND(O28+R28=0,U28=2),"plus 9 spurs of "&amp;U35&amp;R1&amp;U14,".")</f>
        <v>.</v>
      </c>
      <c r="D30" s="255"/>
      <c r="E30" s="255"/>
      <c r="F30" s="255"/>
      <c r="G30" s="257"/>
      <c r="H30" s="257"/>
      <c r="I30" s="20"/>
      <c r="J30" s="20"/>
      <c r="K30" s="255"/>
      <c r="L30" s="278"/>
      <c r="M30" s="498" t="e">
        <f>IF(D34+O31&gt;S4,"Links may be outside Column Strip, CHECK MAIN As","√")</f>
        <v>#DIV/0!</v>
      </c>
      <c r="N30" s="1" t="s">
        <v>123</v>
      </c>
      <c r="O30" s="222">
        <f>IF(O28&gt;0,O29,IF(R28&gt;0,R29,U29))</f>
        <v>3</v>
      </c>
      <c r="P30" s="51" t="s">
        <v>2</v>
      </c>
      <c r="X30" s="186" t="s">
        <v>202</v>
      </c>
      <c r="Y30" s="190" t="s">
        <v>199</v>
      </c>
      <c r="Z30" s="190" t="s">
        <v>198</v>
      </c>
      <c r="AA30" s="186" t="s">
        <v>192</v>
      </c>
      <c r="AB30" s="167" t="s">
        <v>197</v>
      </c>
      <c r="AC30" s="167" t="s">
        <v>196</v>
      </c>
      <c r="AD30" s="168" t="s">
        <v>7</v>
      </c>
      <c r="AE30" s="167" t="s">
        <v>195</v>
      </c>
      <c r="AF30" s="167" t="s">
        <v>194</v>
      </c>
      <c r="AG30" s="168" t="s">
        <v>193</v>
      </c>
      <c r="AH30" s="167" t="s">
        <v>200</v>
      </c>
      <c r="AI30" s="167" t="s">
        <v>201</v>
      </c>
    </row>
    <row r="31" spans="1:40" ht="16.5">
      <c r="A31" s="226"/>
      <c r="B31" s="279"/>
      <c r="C31" s="249" t="str">
        <f>"St "&amp;IF(O28=1,"(average)","")&amp;" ="</f>
        <v>St (average) =</v>
      </c>
      <c r="D31" s="20">
        <f>IF(O28=1,((O11-1)*O21+(O12-1)*O22+(O18-1)*P21+(O19-1)*P22)/(SUM(O11:O12,O18:O19)-4),IF(R28=1,R9,U9))</f>
        <v>182.5</v>
      </c>
      <c r="E31" s="256" t="s">
        <v>4</v>
      </c>
      <c r="F31" s="249" t="s">
        <v>111</v>
      </c>
      <c r="G31" s="20">
        <f>IF(O28=1,O17,IF(R28=1,R14,U14))</f>
        <v>135</v>
      </c>
      <c r="H31" s="17" t="s">
        <v>4</v>
      </c>
      <c r="I31" s="20"/>
      <c r="J31" s="20"/>
      <c r="K31" s="255"/>
      <c r="L31" s="278"/>
      <c r="M31" s="358"/>
      <c r="N31" s="14" t="s">
        <v>122</v>
      </c>
      <c r="O31" s="136">
        <f>(O30-1)*O33</f>
        <v>270</v>
      </c>
      <c r="P31" s="51" t="s">
        <v>4</v>
      </c>
      <c r="Q31" s="14" t="s">
        <v>221</v>
      </c>
      <c r="R31" s="211">
        <f>(I26-(E12+E13)/2-E14-E15)/12/SIN(PI()/8)-(S5+S6)/4-D34</f>
        <v>-19.107314372337953</v>
      </c>
      <c r="T31" s="14" t="s">
        <v>221</v>
      </c>
      <c r="U31" s="211">
        <f>(I26-(E12+E13)/2-E14-E15)/18/SIN(PI()/12)-($S5+$S6)/4-$D34</f>
        <v>-23.42287022753726</v>
      </c>
      <c r="X31" s="187" t="e">
        <f>IF(AND(N$49&lt;=-E$12/2,MIN(-N$50/N$49,-O$50/O$49)&lt;AA25,MAX(-P$50/P$49,-Q$50/Q$49)&gt;-AA25),1,0)</f>
        <v>#DIV/0!</v>
      </c>
      <c r="Y31" s="187" t="e">
        <f>IF(AND(P$50&gt;0,N$49&lt;0,(-N$50/N$49*X25-E$13/2)/Y3&lt;1),1,0)</f>
        <v>#DIV/0!</v>
      </c>
      <c r="Z31" s="187" t="e">
        <f>IF(AND(N$50&gt;0,N$49&lt;0,(-Q$49/Q$50*Y25-E$12/2)/Y3&lt;1),1,0)</f>
        <v>#DIV/0!</v>
      </c>
      <c r="AA31" s="649">
        <f>IF(MAX(N$44,P$44)&lt;Y$28,0,IF(OR(P$45&gt;R44,N$45&gt;R44),1,0))</f>
        <v>0</v>
      </c>
      <c r="AB31" s="37" t="e">
        <f>IF(AND(P$50&gt;0,O$49&gt;0,(P$49/P$50*Y25-E$12/2)/Y3&lt;1),1,0)</f>
        <v>#DIV/0!</v>
      </c>
      <c r="AC31" s="37" t="e">
        <f>IF(AND(P$50&gt;0,O$49&gt;0,(O$50/O$49*X25-E$13/2)/Y3&lt;1),1,0)</f>
        <v>#DIV/0!</v>
      </c>
      <c r="AD31" s="649">
        <f>IF(MAX(N$43,P$43)&lt;X$28,0,IF(OR(P$45&gt;R44,N$45&gt;R44),1,0))</f>
        <v>0</v>
      </c>
      <c r="AE31" s="681">
        <f>IF(AND(N$50&lt;-Y$28,Q$49&gt;X$28,(N$44+Y$28)/(IF(N$49-X$28=0,0.000001,N$49-X$28))&lt;0),1,0)</f>
        <v>0</v>
      </c>
      <c r="AF31" s="37" t="e">
        <f>IF(AND(N$50&lt;0,Q$49&gt;0,(-N$49/N$50*Y25-E$12/2)/Y3&lt;1),1,0)</f>
        <v>#DIV/0!</v>
      </c>
      <c r="AG31" s="37" t="e">
        <f>IF(AND(N$50&lt;=-E$13/2-H$14,MIN(-P$49/P$50,-N$49/N$50)&lt;Z25,MAX(-Q$49/Q$50,-O$49/O$50)&gt;-Z25),1,0)</f>
        <v>#DIV/0!</v>
      </c>
      <c r="AH31" s="37" t="e">
        <f>IF(AND(N$50&lt;0,N$49&lt;0,(O$49/O$50*Y25-E$12/2)/Y3&lt;1),1,0)</f>
        <v>#DIV/0!</v>
      </c>
      <c r="AI31" s="37" t="e">
        <f>IF(AND(N$50&lt;0,N$49&lt;0,(P$50/P$49*X25-E$13/2)/Y3&lt;1),1,0)</f>
        <v>#DIV/0!</v>
      </c>
    </row>
    <row r="32" spans="1:40" ht="18">
      <c r="A32" s="226"/>
      <c r="B32" s="279"/>
      <c r="C32" s="292" t="s">
        <v>113</v>
      </c>
      <c r="D32" s="24">
        <f>IF(O28=1,MAX(O10,O15),IF(R28=1,R13,U13))</f>
        <v>1.5518029057434546</v>
      </c>
      <c r="E32" s="255"/>
      <c r="F32" s="486" t="s">
        <v>219</v>
      </c>
      <c r="G32" s="20"/>
      <c r="H32" s="488"/>
      <c r="I32" s="20"/>
      <c r="J32" s="20"/>
      <c r="K32" s="255"/>
      <c r="L32" s="278"/>
      <c r="M32" s="615"/>
      <c r="N32" s="52" t="s">
        <v>134</v>
      </c>
      <c r="O32" s="136">
        <f>IF(O28=1,2*O18+2*O19,IF(R28=1,S8,V8))</f>
        <v>14</v>
      </c>
      <c r="P32" s="51" t="s">
        <v>2</v>
      </c>
      <c r="Q32" s="14" t="s">
        <v>222</v>
      </c>
      <c r="R32" s="211">
        <f>(I26/AE26-(E12+E13)/2-E14-E15)/12/SIN(PI()/8)-(S5+S6)/4-D34</f>
        <v>-19.107314372337953</v>
      </c>
      <c r="S32" s="2"/>
      <c r="T32" s="14" t="s">
        <v>222</v>
      </c>
      <c r="U32" s="211">
        <f>(I26/AE26-(E12+E13)/2-E14-E15)/18/SIN(PI()/12)-($S5+$S6)/4-$D34</f>
        <v>-23.42287022753726</v>
      </c>
      <c r="X32" s="188" t="e">
        <f>IF(AND(N$49&lt;=-E$12/2,MIN(-N$50/N$49,-O$50/O$49)&lt;AA26,MAX(-P$50/P$49,-Q$50/Q$49)&gt;-AA26),1,0)</f>
        <v>#DIV/0!</v>
      </c>
      <c r="Y32" s="188" t="e">
        <f>IF(AND(P$50&gt;0,N$49&lt;0,(-N$50/N$49*X26-E$13/2)/Y9&lt;1),1,0)</f>
        <v>#DIV/0!</v>
      </c>
      <c r="Z32" s="188" t="e">
        <f>IF(AND(N$50&gt;0,N$49&lt;0,(-Q$49/Q$50*Y26-E$12/2)/Y9&lt;1),1,0)</f>
        <v>#DIV/0!</v>
      </c>
      <c r="AA32" s="650">
        <f>IF(MAX(N$44,P$44)&lt;Y$28,0,IF(OR(P$45&gt;R45,N$45&gt;R45),1,0))</f>
        <v>0</v>
      </c>
      <c r="AB32" s="38" t="e">
        <f>IF(AND(P$50&gt;0,O$49&gt;0,(P$49/P$50*Y26-E$12/2)/Y9&lt;1),1,0)</f>
        <v>#DIV/0!</v>
      </c>
      <c r="AC32" s="38" t="e">
        <f>IF(AND(P$50&gt;0,O$49&gt;0,(O$50/O$49*X26-E$13/2)/Y9&lt;1),1,0)</f>
        <v>#DIV/0!</v>
      </c>
      <c r="AD32" s="650">
        <f>IF(MAX(N$43,P$43)&lt;X$28,0,IF(OR(P$45&gt;R45,N$45&gt;R45),1,0))</f>
        <v>0</v>
      </c>
      <c r="AE32" s="682">
        <f>IF(AND(N$50&lt;-Y$28,Q$49&gt;X$28,(N$44+Y$28)/(IF(N$49-X$28=0,0.000001,N$49-X$28))&lt;0),1,0)</f>
        <v>0</v>
      </c>
      <c r="AF32" s="38" t="e">
        <f>IF(AND(N$50&lt;0,Q$49&gt;0,(-N$49/N$50*Y26-E$12/2)/Y9&lt;1),1,0)</f>
        <v>#DIV/0!</v>
      </c>
      <c r="AG32" s="38" t="e">
        <f>IF(AND(N$50&lt;=-E$13/2-H$14,MIN(-P$49/P$50,-N$49/N$50)&lt;Z26,MAX(-Q$49/Q$50,-O$49/O$50)&gt;-Z26),1,0)</f>
        <v>#DIV/0!</v>
      </c>
      <c r="AH32" s="38" t="e">
        <f>IF(AND(N$50&lt;0,N$49&lt;0,(O$49/O$50*Y26-E$12/2)/Y9&lt;1),1,0)</f>
        <v>#DIV/0!</v>
      </c>
      <c r="AI32" s="38" t="e">
        <f>IF(AND(N$50&lt;0,N$49&lt;0,(P$50/P$49*X26-E$13/2)/Y9&lt;1),1,0)</f>
        <v>#DIV/0!</v>
      </c>
    </row>
    <row r="33" spans="1:35" ht="16.5" customHeight="1">
      <c r="A33" s="226"/>
      <c r="B33" s="288"/>
      <c r="C33" s="292" t="s">
        <v>112</v>
      </c>
      <c r="D33" s="24">
        <f>IF(O28=1,O20,IF(R28=1,R15,U15))</f>
        <v>5.2127166992897305</v>
      </c>
      <c r="E33" s="17" t="str">
        <f>IF(O28=1,P10,P17)</f>
        <v>mm</v>
      </c>
      <c r="F33" s="249"/>
      <c r="G33" s="20"/>
      <c r="H33" s="17"/>
      <c r="I33" s="20"/>
      <c r="J33" s="20"/>
      <c r="K33" s="255"/>
      <c r="L33" s="278"/>
      <c r="M33" s="712" t="s">
        <v>380</v>
      </c>
      <c r="N33" s="52" t="s">
        <v>111</v>
      </c>
      <c r="O33" s="137">
        <f>IF(O28=1,O17,IF(R28=1,R14,U14))</f>
        <v>135</v>
      </c>
      <c r="P33" s="51" t="s">
        <v>4</v>
      </c>
      <c r="Q33" s="212" t="s">
        <v>224</v>
      </c>
      <c r="R33" s="211">
        <f>(6*SQRT(R18^2*(2-1/SQRT(2))+R18*R9/SQRT(2)+R9^2)+E13/2+E15+E12/2+E14)*IF(R16=R31,1,AE26)</f>
        <v>3230.9293225597594</v>
      </c>
      <c r="S33" s="1"/>
      <c r="T33" s="212" t="s">
        <v>224</v>
      </c>
      <c r="U33" s="211">
        <f>(9*SQRT(U18^2*(5/4+(COS(PI()/6))^2-2*COS(PI()/6))+U18*U9+U9^2)+E13/2+E15+E12/2+E14)*IF(U16=U31,1,AE26)</f>
        <v>3571.1011173744273</v>
      </c>
      <c r="X33" s="188" t="e">
        <f>IF(AND(N$49&lt;=-E$12/2,MIN(-N$50/N$49,-O$50/O$49)&lt;AA27,MAX(-P$50/P$49,-Q$50/Q$49)&gt;-AA27),1,0)</f>
        <v>#DIV/0!</v>
      </c>
      <c r="Y33" s="188" t="e">
        <f>IF(AND(P$50&gt;0,N$49&lt;0,(-N$50/N$49*X27-E$13/2)/IF(Y5=0,0.000001,Y5)&lt;1),1,0)</f>
        <v>#DIV/0!</v>
      </c>
      <c r="Z33" s="188" t="e">
        <f>IF(AND(N$50&gt;0,N$49&lt;0,(-Q$49/Q$50*Y27-E$12/2)/IF(Y5=0,0.000001,Y5)&lt;1),1,0)</f>
        <v>#DIV/0!</v>
      </c>
      <c r="AA33" s="650">
        <f>IF(MAX(N$44,P$44)&lt;Y$28,0,IF(OR(P$45&gt;R46,N$45&gt;R46),1,0))</f>
        <v>0</v>
      </c>
      <c r="AB33" s="38" t="e">
        <f>IF(AND(P$50&gt;0,O$49&gt;0,(P$49/P$50*Y27-E$12/2)/IF(Y5=0,0.000001,Y5)&lt;1),1,0)</f>
        <v>#DIV/0!</v>
      </c>
      <c r="AC33" s="38" t="e">
        <f>IF(AND(P$50&gt;0,O$49&gt;0,(O$50/O$49*X27-E$13/2)/IF(Y5=0,0.000001,Y5)&lt;1),1,0)</f>
        <v>#DIV/0!</v>
      </c>
      <c r="AD33" s="650">
        <f>IF(MAX(N$43,P$43)&lt;X$28,0,IF(OR(P$45&gt;R46,N$45&gt;R46),1,0))</f>
        <v>0</v>
      </c>
      <c r="AE33" s="682">
        <f>IF(AND(N$50&lt;-Y$28,Q$49&gt;X$28,(N$44+Y$28)/(IF(N$49-X$28=0,0.000001,N$49-X$28))&lt;0),1,0)</f>
        <v>0</v>
      </c>
      <c r="AF33" s="38" t="e">
        <f>IF(AND(N$50&lt;0,Q$49&gt;0,(-N$49/N$50*Y27-E$12/2)/IF(Y5=0,0.000001,Y5)&lt;1),1,0)</f>
        <v>#DIV/0!</v>
      </c>
      <c r="AG33" s="38" t="e">
        <f>IF(AND(N$50&lt;=-E$13/2-H$14,MIN(-P$49/P$50,-N$49/N$50)&lt;Z27,MAX(-Q$49/Q$50,-O$49/O$50)&gt;-Z27),1,0)</f>
        <v>#DIV/0!</v>
      </c>
      <c r="AH33" s="38" t="e">
        <f>IF(AND(N$50&lt;0,N$49&lt;0,(O$49/O$50*Y27-E$12/2)/IF(Y5=0,0.000001,Y5)&lt;1),1,0)</f>
        <v>#DIV/0!</v>
      </c>
      <c r="AI33" s="38" t="e">
        <f>IF(AND(N$50&lt;0,N$49&lt;0,(P$50/P$49*X27-E$13/2)/IF(Y5=0,0.000001,Y5)&lt;1),1,0)</f>
        <v>#DIV/0!</v>
      </c>
    </row>
    <row r="34" spans="1:35">
      <c r="A34" s="226"/>
      <c r="B34" s="279"/>
      <c r="C34" s="249" t="s">
        <v>120</v>
      </c>
      <c r="D34" s="20">
        <f>FLOOR(G22/2,5)</f>
        <v>90</v>
      </c>
      <c r="E34" s="17" t="s">
        <v>121</v>
      </c>
      <c r="F34" s="249"/>
      <c r="G34" s="20"/>
      <c r="H34" s="17"/>
      <c r="I34" s="20"/>
      <c r="J34" s="20"/>
      <c r="K34" s="257"/>
      <c r="L34" s="278"/>
      <c r="M34" s="712"/>
      <c r="N34" s="14" t="s">
        <v>266</v>
      </c>
      <c r="O34" s="494" t="s">
        <v>267</v>
      </c>
      <c r="P34" s="8"/>
      <c r="Q34" s="14" t="s">
        <v>266</v>
      </c>
      <c r="R34" s="27" t="str">
        <f>FIXED(IF(R20="VALID",R31,R22)+G22/2,0)</f>
        <v>71</v>
      </c>
      <c r="S34" s="1"/>
      <c r="T34" s="14" t="s">
        <v>266</v>
      </c>
      <c r="U34" s="27" t="str">
        <f>FIXED(U31+G22/2,0)</f>
        <v>67</v>
      </c>
      <c r="X34" s="189" t="e">
        <f>IF(AND(N$49&lt;=-E$12/2,MIN(-N$50/N$49,-O$50/O$49)&lt;AA28,MAX(-P$50/P$49,-Q$50/Q$49)&gt;-AA28),1,0)</f>
        <v>#DIV/0!</v>
      </c>
      <c r="Y34" s="189" t="e">
        <f>IF(AND(P$50&gt;0,N$49&lt;0,(-N$50/N$49*X28-E$13/2)/IF(Y6=0,0.000001,Y6)&lt;1),1,0)</f>
        <v>#DIV/0!</v>
      </c>
      <c r="Z34" s="189" t="e">
        <f>IF(AND(N$50&gt;0,N$49&lt;0,(-Q$49/Q$50*Y28-E$12/2)/IF(Y6=0,0.000001,Y6)&lt;1),1,0)</f>
        <v>#DIV/0!</v>
      </c>
      <c r="AA34" s="651">
        <f>IF(MAX(N$44,P$44)&lt;Y$28,0,IF(OR(P$45&gt;R47,N$45&gt;R47),1,0))</f>
        <v>0</v>
      </c>
      <c r="AB34" s="39" t="e">
        <f>IF(AND(P$50&gt;0,O$49&gt;0,(P$49/P$50*Y28-E$12/2)/IF(Y6=0,0.000001,Y6)&lt;1),1,0)</f>
        <v>#DIV/0!</v>
      </c>
      <c r="AC34" s="39" t="e">
        <f>IF(AND(P$50&gt;0,O$49&gt;0,(O$50/O$49*X28-E$13/2)/IF(Y6=0,0.000001,Y6)&lt;1),1,0)</f>
        <v>#DIV/0!</v>
      </c>
      <c r="AD34" s="651">
        <f>IF(MAX(N$43,P$43)&lt;X$28,0,IF(OR(P$45&gt;R47,N$45&gt;R47),1,0))</f>
        <v>0</v>
      </c>
      <c r="AE34" s="680">
        <v>0</v>
      </c>
      <c r="AF34" s="39" t="e">
        <f>IF(AND(N$50&lt;0,Q$49&gt;0,(-N$49/N$50*Y28-E$12/2)/IF(Y6=0,0.000001,Y6)&lt;1),1,0)</f>
        <v>#DIV/0!</v>
      </c>
      <c r="AG34" s="39" t="e">
        <f>IF(AND(N$50&lt;=-E$13/2-H$14,MIN(-P$49/P$50,-N$49/N$50)&lt;Z28,MAX(-Q$49/Q$50,-O$49/O$50)&gt;-Z28),1,0)</f>
        <v>#DIV/0!</v>
      </c>
      <c r="AH34" s="39" t="e">
        <f>IF(AND(N$50&lt;0,N$49&lt;0,(O$49/O$50*Y28-E$12/2)/IF(Y6=0,0.000001,Y6)&lt;1),1,0)</f>
        <v>#DIV/0!</v>
      </c>
      <c r="AI34" s="39" t="e">
        <f>IF(AND(N$50&lt;0,N$49&lt;0,(P$50/P$49*X28-E$13/2)/IF(Y6=0,0.000001,Y6)&lt;1),1,0)</f>
        <v>#DIV/0!</v>
      </c>
    </row>
    <row r="35" spans="1:35" ht="18">
      <c r="A35" s="226"/>
      <c r="B35" s="279"/>
      <c r="C35" s="249" t="s">
        <v>268</v>
      </c>
      <c r="D35" s="20">
        <f>D34+O31</f>
        <v>360</v>
      </c>
      <c r="E35" s="17" t="s">
        <v>121</v>
      </c>
      <c r="F35" s="16"/>
      <c r="G35" s="20"/>
      <c r="H35" s="17"/>
      <c r="I35" s="20"/>
      <c r="J35" s="20"/>
      <c r="K35" s="257"/>
      <c r="L35" s="278"/>
      <c r="M35" s="712"/>
      <c r="N35" s="239" t="s">
        <v>41</v>
      </c>
      <c r="O35" s="2"/>
      <c r="P35" s="8"/>
      <c r="T35" s="216" t="s">
        <v>228</v>
      </c>
      <c r="U35" s="218">
        <f>IF(U20="INVALID",CEILING((1-(G22-U9/2)/(U19/2-U9/2))*(U29-1),1)+1,0)</f>
        <v>0</v>
      </c>
      <c r="V35" s="217" t="s">
        <v>225</v>
      </c>
      <c r="X35" s="665" t="e">
        <f>X31*(ABS(SIGN(P$44)*MIN(Y$28,X25/ABS(P$43/IF(P$44=0,0.000001,P$44)))-SIGN(N$44)*MAX(MIN(Y$28,IF(N$43&gt;-X25,Y$28,X25/ABS(N$43/IF(N$44=0,0.000001,N$44)))),-E$13/2-E$15)))</f>
        <v>#DIV/0!</v>
      </c>
      <c r="Y35" s="666" t="e">
        <f>Y31*IF(AA3=Z3,Y3*(MAX(0,MIN(PI()/4,ATAN((Q$50/Q$49*-X25-E$13/2)/Y3)))-MAX(0,MIN(PI()/4,ATAN((N$50/N$49*-X25-E$13/2)/Y3)))),MIN(MAX(E$15,0),MAX(0,-Q$50/Q$49*X25-E$13/2))-MIN(MAX(E$15,0),MAX(0,-N$50/N$49*X25-E$13/2)))</f>
        <v>#DIV/0!</v>
      </c>
      <c r="Z35" s="666" t="e">
        <f>Z31*IF(AA3=Z3,Y3*(MAX(0,MIN(PI()/4,ATAN((N$49/N$50*-Y25-E$12/2)/Y3)))-MAX(0,MIN(PI()/4,ATAN((Q$49/Q$50*-Y25-E$12/2)/Y3)))),MIN(MAX(E$14,0),MAX(0,-N$49/N$50*Y25-E$12/2))-MIN(MAX(E$14,0),MAX(0,-Q$49/Q$50*Y25-E$12/2)))</f>
        <v>#DIV/0!</v>
      </c>
      <c r="AA35" s="665" t="e">
        <f>AA31*ABS(SIGN(P$43)*MIN(X$28,Y25/ABS(P$44/IF(P$43=0,0.000001,P$43)))-SIGN(N$43)*MIN(X$28,IF(N$43&gt;Y25,X$28,Y25/ABS(N$44/IF(N$43=0,0.000001,N$43)))))</f>
        <v>#DIV/0!</v>
      </c>
      <c r="AB35" s="667" t="e">
        <f>Y3*AB31*(MAX(0,MIN(PI()/4,ATAN((O$49/O$50*Y25-E$12/2)/Y3)))-MAX(0,MIN(PI()/4,ATAN((P$49/P$50*Y25-E$12/2)/Y3))))</f>
        <v>#DIV/0!</v>
      </c>
      <c r="AC35" s="667" t="e">
        <f>Y3*AC31*(MAX(0,MIN(PI()/4,ATAN((P$50/P$49*X25-E$13/2)/Y3)))-MAX(0,MIN(PI()/4,ATAN((O$50/O$49*X25-E$13/2)/Y3))))</f>
        <v>#DIV/0!</v>
      </c>
      <c r="AD35" s="665">
        <f>AD31*(ABS(SIGN(P$44)*MIN(Y$28,IF(P$43&lt;X25,Y25,X25/ABS(P$43/IF(P$44=0,0.000001,P$44))))-SIGN(N$44)*MIN(Y$28,IF(N$43&lt;X25,Y$28,X25/ABS(N$43/IF(N$44=0,0.000001,N$44))))))</f>
        <v>0</v>
      </c>
      <c r="AE35" s="678" t="e">
        <f>ABS(Y3*AE31*(MAX(0,MIN(PI()/4,SIGN(P$43)*ATAN((P$44/P$43*-X25-E$13/2)/IF(Y3=0,0.000001,Y3))))-MAX(0,MIN(PI()/4,ATAN((N$44/N$43*-X25-E$13/2)/IF(Y3=0,0.000001,Y3))))))</f>
        <v>#DIV/0!</v>
      </c>
      <c r="AF35" s="678" t="e">
        <f>ABS(Y3*AF31*(MAX(0,MIN(PI()/4,ATAN((N$43/N$44*-Y25-E$12/2)/IF(Y3=0,0.000001,Y3))))-MAX(0,MIN(PI()/4,ATAN((P$43/P$44*-Y25-E$12/2)/IF(Y3=0,0.000001,Y3))))))</f>
        <v>#DIV/0!</v>
      </c>
      <c r="AG35" s="665" t="e">
        <f>AG31*ABS(SIGN(P$43)*MIN(X$28,Y25/ABS(P$44/IF(P$43=0,0.000001,P$43)))-SIGN(N$43)*MIN(X$28,IF(N$43&gt;Y25,X$28,Y25/ABS(N$44/IF(N$43=0,0.000001,N$43)))))</f>
        <v>#DIV/0!</v>
      </c>
      <c r="AH35" s="667" t="e">
        <f>Y3*AH31*(MAX(0,MIN(PI()/4,ATAN((P$49/P$50*Y25-E$12/2)/Y3)))-MAX(0,MIN(PI()/4,ATAN((O$49/O$50*Y25-E$12/2)/Y3))))</f>
        <v>#DIV/0!</v>
      </c>
      <c r="AI35" s="667" t="e">
        <f>Y3*AI31*(MAX(0,MIN(PI()/4,ATAN((O$50/O$49*X25-E$13/2)/Y3)))-MAX(0,MIN(PI()/4,ATAN((P$50/P$49*X25-E$13/2)/Y3))))</f>
        <v>#DIV/0!</v>
      </c>
    </row>
    <row r="36" spans="1:35" ht="18">
      <c r="A36" s="226"/>
      <c r="B36" s="279"/>
      <c r="C36" s="249" t="s">
        <v>100</v>
      </c>
      <c r="D36" s="20">
        <f>IF(O28=1,O27,IF(R28=1,R27,U27))</f>
        <v>4262.3450247038663</v>
      </c>
      <c r="E36" s="17" t="str">
        <f>"mm "&amp;IF(I26&gt;D36,"&lt;","&gt;")&amp;" "&amp;FIXED(I26,0)&amp;" mm"</f>
        <v>mm &gt; 1,700 mm</v>
      </c>
      <c r="F36" s="249"/>
      <c r="G36" s="20"/>
      <c r="H36" s="324" t="s">
        <v>241</v>
      </c>
      <c r="I36" s="20"/>
      <c r="J36" s="20"/>
      <c r="K36" s="257"/>
      <c r="L36" s="281"/>
      <c r="M36" s="616"/>
      <c r="N36" s="3">
        <f>IF(M21="√",0,1)</f>
        <v>0</v>
      </c>
      <c r="O36" s="704" t="str">
        <f>IF(N36=1,"Size &gt; 4d. ","")</f>
        <v/>
      </c>
      <c r="P36" s="624" t="s">
        <v>381</v>
      </c>
      <c r="Q36" s="5">
        <f>IF(AND(MAX(E12:E13)&gt;3.975*G22,MAX(E12:E13)&lt;=4*G22),1,0)</f>
        <v>0</v>
      </c>
      <c r="R36" s="673"/>
      <c r="S36" s="673"/>
      <c r="T36" s="673"/>
      <c r="U36" s="673"/>
      <c r="V36" s="53"/>
      <c r="W36" s="2"/>
      <c r="X36" s="665" t="e">
        <f>X32*(ABS(SIGN(P$44)*MIN(Y$28,X26/ABS(P$43/IF(P$44=0,0.000001,P$44)))-SIGN(N$44)*MAX(MIN(Y$28,IF(N$43&gt;-X26,Y$28,X26/ABS(N$43/IF(N$44=0,0.000001,N$44)))),-E$13/2-E$15)))</f>
        <v>#DIV/0!</v>
      </c>
      <c r="Y36" s="666" t="e">
        <f>Y32*IF(AA9=Z9,Y9*(MAX(0,MIN(PI()/4,ATAN((Q$50/Q$49*-X26-E$13/2)/Y9)))-MAX(0,MIN(PI()/4,ATAN((N$50/N$49*-X26-E$13/2)/Y9)))),MIN(MAX(E$15,0),MAX(0,-Q$50/Q$49*X26-E$13/2))-MIN(MAX(E$15,0),MAX(0,-N$50/N$49*X26-E$13/2)))</f>
        <v>#DIV/0!</v>
      </c>
      <c r="Z36" s="666" t="e">
        <f>Z32*IF(AA9=Z9,Y9*(MAX(0,MIN(PI()/4,ATAN((N$49/N$50*-Y26-E$12/2)/Y9)))-MAX(0,MIN(PI()/4,ATAN((Q$49/Q$50*-Y26-E$12/2)/Y9)))),MIN(MAX(E$14,0),MAX(0,-N$49/N$50*Y26-E$12/2))-MIN(MAX(E$14,0),MAX(0,-Q$49/Q$50*Y26-E$12/2)))</f>
        <v>#DIV/0!</v>
      </c>
      <c r="AA36" s="665" t="e">
        <f>AA32*ABS(SIGN(P$43)*MIN(X$28,Y26/ABS(P$44/IF(P$43=0,0.000001,P$43)))-SIGN(N$43)*MIN(X$28,IF(N$43&gt;Y26,X$28,Y26/ABS(N$44/IF(N$43=0,0.000001,N$43)))))</f>
        <v>#DIV/0!</v>
      </c>
      <c r="AB36" s="667" t="e">
        <f>Y9*AB32*(MAX(0,MIN(PI()/4,ATAN((O$49/O$50*Y26-E$12/2)/Y9)))-MAX(0,MIN(PI()/4,ATAN((P$49/P$50*Y26-E$12/2)/Y9))))</f>
        <v>#DIV/0!</v>
      </c>
      <c r="AC36" s="667" t="e">
        <f>Y9*AC32*(MAX(0,MIN(PI()/4,ATAN((P$50/P$49*X26-E$13/2)/Y9)))-MAX(0,MIN(PI()/4,ATAN((O$50/O$49*X26-E$13/2)/Y9))))</f>
        <v>#DIV/0!</v>
      </c>
      <c r="AD36" s="665">
        <f>AD32*(ABS(SIGN(P$44)*MIN(Y$28,IF(P$43&lt;X26,Y26,X26/ABS(P$43/IF(P$44=0,0.000001,P$44))))-SIGN(N$44)*MIN(Y$28,IF(N$43&lt;X26,Y$28,X26/ABS(N$43/IF(N$44=0,0.000001,N$44))))))</f>
        <v>0</v>
      </c>
      <c r="AE36" s="678" t="e">
        <f>ABS(Y9*AE32*(MAX(0,MIN(PI()/4,SIGN(P$43)*ATAN((P$44/P$43*-X26-E$13/2)/IF(Y9=0,0.000001,Y9))))-MAX(0,MIN(PI()/4,ATAN((N$44/N$43*-X26-E$13/2)/IF(Y9=0,0.000001,Y9))))))</f>
        <v>#DIV/0!</v>
      </c>
      <c r="AF36" s="678" t="e">
        <f>ABS(Y9*AF32*(MAX(0,MIN(PI()/4,ATAN((N$43/N$44*-Y26-E$12/2)/IF(Y9=0,0.000001,Y9))))-MAX(0,MIN(PI()/4,ATAN((P$43/P$44*-Y26-E$12/2)/IF(Y9=0,0.000001,Y9))))))</f>
        <v>#DIV/0!</v>
      </c>
      <c r="AG36" s="665" t="e">
        <f>AG32*ABS(SIGN(P$43)*MIN(X$28,Y26/ABS(P$44/IF(P$43=0,0.000001,P$43)))-SIGN(N$43)*MIN(X$28,IF(N$43&gt;Y26,X$28,Y26/ABS(N$44/IF(N$43=0,0.000001,N$43)))))</f>
        <v>#DIV/0!</v>
      </c>
      <c r="AH36" s="667" t="e">
        <f>Y9*AH32*(MAX(0,MIN(PI()/4,ATAN((P$49/P$50*Y26-E$12/2)/Y9)))-MAX(0,MIN(PI()/4,ATAN((O$49/O$50*Y26-E$12/2)/Y9))))</f>
        <v>#DIV/0!</v>
      </c>
      <c r="AI36" s="667" t="e">
        <f>Y9*AI32*(MAX(0,MIN(PI()/4,ATAN((O$50/O$49*X26-E$13/2)/Y9)))-MAX(0,MIN(PI()/4,ATAN((P$50/P$49*X26-E$13/2)/Y9))))</f>
        <v>#DIV/0!</v>
      </c>
    </row>
    <row r="37" spans="1:35" ht="18">
      <c r="A37" s="226"/>
      <c r="B37" s="495" t="s">
        <v>161</v>
      </c>
      <c r="C37" s="294"/>
      <c r="D37" s="257"/>
      <c r="E37" s="257"/>
      <c r="F37" s="257"/>
      <c r="G37" s="257"/>
      <c r="H37" s="324" t="s">
        <v>240</v>
      </c>
      <c r="I37" s="20"/>
      <c r="J37" s="20"/>
      <c r="K37" s="257"/>
      <c r="L37" s="281"/>
      <c r="M37" s="238"/>
      <c r="N37" s="3">
        <f>IF(M25="√",0,1)</f>
        <v>0</v>
      </c>
      <c r="O37" s="704" t="str">
        <f>IF(N37=1,"V max. ","")</f>
        <v/>
      </c>
      <c r="P37" s="2"/>
      <c r="Q37" s="2"/>
      <c r="R37" s="673"/>
      <c r="S37" s="673"/>
      <c r="T37" s="673"/>
      <c r="U37" s="673"/>
      <c r="V37" s="53"/>
      <c r="W37" s="2"/>
      <c r="X37" s="665" t="e">
        <f>X33*(ABS(SIGN(P$44)*MIN(Y$28,X27/ABS(P$43/IF(P$44=0,0.000001,P$44)))-SIGN(N$44)*MAX(MIN(Y$28,IF(N$43&gt;-X27,Y$28,X27/ABS(N$43/IF(N$44=0,0.000001,N$44)))),-E$13/2-E$15)))</f>
        <v>#DIV/0!</v>
      </c>
      <c r="Y37" s="666" t="e">
        <f>Y33*IF(AA5=Z5,Y5*(MAX(0,MIN(PI()/4,ATAN((Q$50/Q$49*-X27-E$13/2)/IF(Y5=0,0.000001,Y5))))-MAX(0,MIN(PI()/4,ATAN((N$50/N$49*-X27-E$13/2)/IF(Y5=0,0.000001,Y5))))),MIN(MAX(E$15,0),MAX(0,-Q$50/Q$49*X27-E$13/2))-MIN(MAX(E$15,0),MAX(0,-N$50/N$49*X27-E$13/2)))</f>
        <v>#DIV/0!</v>
      </c>
      <c r="Z37" s="666" t="e">
        <f>Z33*IF(AA5=Z5,Y5*(MAX(0,MIN(PI()/4,ATAN((N$49/N$50*-Y27-E$12/2)/IF(Y5=0,0.000001,Y5))))-MAX(0,MIN(PI()/4,ATAN((Q$49/Q$50*-Y27-E$12/2)/IF(Y5=0,0.000001,Y5))))),MIN(MAX(E$14,0),MAX(0,-N$49/N$50*Y27-E$12/2))-MIN(MAX(E$14,0),MAX(0,-Q$49/Q$50*Y27-E$12/2)))</f>
        <v>#DIV/0!</v>
      </c>
      <c r="AA37" s="665" t="e">
        <f>AA33*ABS(SIGN(P$43)*MIN(X$28,Y27/ABS(P$44/IF(P$43=0,0.000001,P$43)))-SIGN(N$43)*MIN(X$28,IF(N$43&gt;Y27,X$28,Y27/ABS(N$44/IF(N$43=0,0.000001,N$43)))))</f>
        <v>#DIV/0!</v>
      </c>
      <c r="AB37" s="667" t="e">
        <f>Y5*AB33*(MAX(0,MIN(PI()/4,ATAN((O$49/O$50*Y27-E$12/2)/IF(Y5=0,0.000001,Y5))))-MAX(0,MIN(PI()/4,ATAN((P$49/P$50*Y27-E$12/2)/IF(Y5=0,0.000001,Y5)))))</f>
        <v>#DIV/0!</v>
      </c>
      <c r="AC37" s="667" t="e">
        <f>Y5*AC33*(MAX(0,MIN(PI()/4,ATAN((P$50/P$49*X27-E$13/2)/IF(Y5=0,0.000001,Y5))))-MAX(0,MIN(PI()/4,ATAN((O$50/O$49*X27-E$13/2)/IF(Y5=0,0.000001,Y5)))))</f>
        <v>#DIV/0!</v>
      </c>
      <c r="AD37" s="665">
        <f>AD33*(ABS(SIGN(P$44)*MIN(Y$28,IF(P$43&lt;X27,Y27,X27/ABS(P$43/IF(P$44=0,0.000001,P$44))))-SIGN(N$44)*MIN(Y$28,IF(N$43&lt;X27,Y$28,X27/ABS(N$43/IF(N$44=0,0.000001,N$44))))))</f>
        <v>0</v>
      </c>
      <c r="AE37" s="678" t="e">
        <f>ABS(Y5*AE33*(MAX(0,MIN(PI()/4,SIGN(P$43)*ATAN((P$44/P$43*-X27-E$13/2)/IF(Y5=0,0.000001,Y5))))-MAX(0,MIN(PI()/4,ATAN((N$44/N$43*-X27-E$13/2)/IF(Y5=0,0.000001,Y5))))))</f>
        <v>#DIV/0!</v>
      </c>
      <c r="AF37" s="678" t="e">
        <f>ABS(Y5*AF33*(MAX(0,MIN(PI()/4,ATAN((N$43/N$44*-Y27-E$12/2)/IF(Y5=0,0.000001,Y5))))-MAX(0,MIN(PI()/4,ATAN((P$43/P$44*-Y27-E$12/2)/IF(Y5=0,0.000001,Y5))))))</f>
        <v>#DIV/0!</v>
      </c>
      <c r="AG37" s="665" t="e">
        <f>AG33*ABS(SIGN(P$43)*MIN(X$28,Y27/ABS(P$44/IF(P$43=0,0.000001,P$43)))-SIGN(N$43)*MIN(X$28,IF(N$43&gt;Y27,X$28,Y27/ABS(N$44/IF(N$43=0,0.000001,N$43)))))</f>
        <v>#DIV/0!</v>
      </c>
      <c r="AH37" s="667" t="e">
        <f>Y5*AH33*(MAX(0,MIN(PI()/4,ATAN((P$49/P$50*Y27-E$12/2)/IF(Y5=0,0.000001,Y5))))-MAX(0,MIN(PI()/4,ATAN((O$49/O$50*Y27-E$12/2)/IF(Y5=0,0.000001,Y5)))))</f>
        <v>#DIV/0!</v>
      </c>
      <c r="AI37" s="667" t="e">
        <f>Y5*AI33*(MAX(0,MIN(PI()/4,ATAN((O$50/O$49*X27-E$13/2)/IF(Y5=0,0.000001,Y5))))-MAX(0,MIN(PI()/4,ATAN((P$50/P$49*X27-E$13/2)/IF(Y5=0,0.000001,Y5)))))</f>
        <v>#DIV/0!</v>
      </c>
    </row>
    <row r="38" spans="1:35" ht="16.5" thickBot="1">
      <c r="A38" s="226"/>
      <c r="B38" s="496" t="s">
        <v>146</v>
      </c>
      <c r="C38" s="295"/>
      <c r="D38" s="296"/>
      <c r="E38" s="296"/>
      <c r="F38" s="296"/>
      <c r="G38" s="296"/>
      <c r="H38" s="296"/>
      <c r="I38" s="296"/>
      <c r="J38" s="296"/>
      <c r="K38" s="296"/>
      <c r="L38" s="297"/>
      <c r="M38" s="233"/>
      <c r="N38" s="3">
        <f>IF(O28+R28+U28=0,1,0)</f>
        <v>0</v>
      </c>
      <c r="O38" s="704" t="str">
        <f>IF(N38=1,"&gt; "&amp;V8&amp;" spurs ","")</f>
        <v/>
      </c>
      <c r="P38" s="2"/>
      <c r="Q38" s="2"/>
      <c r="R38" s="673"/>
      <c r="S38" s="673"/>
      <c r="T38" s="673"/>
      <c r="U38" s="673"/>
      <c r="V38" s="53"/>
      <c r="W38" s="2"/>
      <c r="X38" s="668" t="e">
        <f>X34*(ABS(SIGN(P$44)*MIN(Y$28,X28/ABS(P$43/IF(P$44=0,0.000001,P$44)))-SIGN(N$44)*MAX(MIN(Y$28,IF(N$43&gt;-X28,Y$28,X28/ABS(N$43/IF(N$44=0,0.000001,N$44)))),-E$13/2-E$15)))</f>
        <v>#DIV/0!</v>
      </c>
      <c r="Y38" s="669" t="e">
        <f>Y34*IF(AA6=Z6,Y6*(MAX(0,MIN(PI()/4,ATAN((Q$50/Q$49*-X28-E$13/2)/IF(Y6=0,0.000001,Y6))))-MAX(0,MIN(PI()/4,ATAN((N$50/N$49*-X28-E$13/2)/IF(Y6=0,0.000001,Y6))))),MIN(MAX(E$15,0),MAX(0,-Q$50/Q$49*X28-E$13/2))-MIN(MAX(E$15,0),MAX(0,-N$50/N$49*X28-E$13/2)))</f>
        <v>#DIV/0!</v>
      </c>
      <c r="Z38" s="669" t="e">
        <f>Z34*IF(AA6=Z6,Y6*(MAX(0,MIN(PI()/4,ATAN((N$49/N$50*-Y28-E$12/2)/IF(Y6=0,0.000001,Y6))))-MAX(0,MIN(PI()/4,ATAN((Q$49/Q$50*-Y28-E$12/2)/IF(Y6=0,0.000001,Y6))))),MIN(MAX(E$14,0),MAX(0,-N$49/N$50*Y28-E$12/2))-MIN(MAX(E$14,0),MAX(0,-Q$49/Q$50*Y28-E$12/2)))</f>
        <v>#DIV/0!</v>
      </c>
      <c r="AA38" s="668" t="e">
        <f>AA34*ABS(SIGN(P$43)*MIN(X$28,Y28/ABS(P$44/IF(P$43=0,0.000001,P$43)))-SIGN(N$43)*MIN(X$28,IF(N$43&gt;Y28,X$28,Y28/ABS(N$44/IF(N$43=0,0.000001,N$43)))))</f>
        <v>#DIV/0!</v>
      </c>
      <c r="AB38" s="670" t="e">
        <f>Y6*AB34*(MAX(0,MIN(PI()/4,ATAN((O$49/O$50*Y28-E$12/2)/IF(Y6=0,0.000001,Y6))))-MAX(0,MIN(PI()/4,ATAN((P$49/P$50*Y28-E$12/2)/IF(Y6=0,0.000001,Y6)))))</f>
        <v>#DIV/0!</v>
      </c>
      <c r="AC38" s="670" t="e">
        <f>Y6*AC34*(MAX(0,MIN(PI()/4,ATAN((P$50/P$49*X28-E$13/2)/IF(Y6=0,0.000001,Y6))))-MAX(0,MIN(PI()/4,ATAN((O$50/O$49*X28-E$13/2)/IF(Y6=0,0.000001,Y6)))))</f>
        <v>#DIV/0!</v>
      </c>
      <c r="AD38" s="668">
        <f>AD34*(ABS(SIGN(P$44)*MIN(Y$28,IF(P$43&lt;X28,Y28,X28/ABS(P$43/IF(P$44=0,0.000001,P$44))))-SIGN(N$44)*MIN(Y$28,IF(N$43&lt;X28,Y$28,X28/ABS(N$43/IF(N$44=0,0.000001,N$44))))))</f>
        <v>0</v>
      </c>
      <c r="AE38" s="679" t="e">
        <f>ABS(Y6*AE34*(MAX(0,MIN(PI()/4,SIGN(P$43)*ATAN((P$44/P$43*-X28-E$13/2)/IF(Y6=0,0.000001,Y6))))-MAX(0,MIN(PI()/4,ATAN((N$44/N$43*-X28-E$13/2)/IF(Y6=0,0.000001,Y6))))))</f>
        <v>#DIV/0!</v>
      </c>
      <c r="AF38" s="679" t="e">
        <f>ABS(Y6*AF34*(MAX(0,MIN(PI()/4,ATAN((N$43/N$44*-Y28-E$12/2)/IF(Y6=0,0.000001,Y6))))-MAX(0,MIN(PI()/4,ATAN((P$43/P$44*-Y28-E$12/2)/IF(Y6=0,0.000001,Y6))))))</f>
        <v>#DIV/0!</v>
      </c>
      <c r="AG38" s="668" t="e">
        <f>AG34*ABS(SIGN(P$43)*MIN(X$28,Y28/ABS(P$44/IF(P$43=0,0.000001,P$43)))-SIGN(N$43)*MIN(X$28,IF(N$43&gt;Y28,X$28,Y28/ABS(N$44/IF(N$43=0,0.000001,N$43)))))</f>
        <v>#DIV/0!</v>
      </c>
      <c r="AH38" s="670" t="e">
        <f>Y6*AH34*(MAX(0,MIN(PI()/4,ATAN((P$49/P$50*Y28-E$12/2)/IF(Y6=0,0.000001,Y6))))-MAX(0,MIN(PI()/4,ATAN((O$49/O$50*Y28-E$12/2)/IF(Y6=0,0.000001,Y6)))))</f>
        <v>#DIV/0!</v>
      </c>
      <c r="AI38" s="670" t="e">
        <f>Y6*AI34*(MAX(0,MIN(PI()/4,ATAN((O$50/O$49*X28-E$13/2)/IF(Y6=0,0.000001,Y6))))-MAX(0,MIN(PI()/4,ATAN((P$50/P$49*X28-E$13/2)/IF(Y6=0,0.000001,Y6)))))</f>
        <v>#DIV/0!</v>
      </c>
    </row>
    <row r="39" spans="1:35" ht="16.5" thickBot="1">
      <c r="A39" s="83"/>
      <c r="B39" s="83"/>
      <c r="C39" s="77"/>
      <c r="D39" s="77"/>
      <c r="E39" s="83"/>
      <c r="F39" s="83"/>
      <c r="G39" s="83"/>
      <c r="H39" s="83"/>
      <c r="I39" s="83"/>
      <c r="J39" s="83"/>
      <c r="K39" s="83"/>
      <c r="L39" s="83"/>
      <c r="M39" s="233"/>
      <c r="N39" s="3">
        <f>IF(K25&gt;1,1,0)</f>
        <v>0</v>
      </c>
      <c r="O39" s="704" t="str">
        <f>IF(N39=1,"VEd/VRdc &gt; "&amp;Refs!D13,"")</f>
        <v/>
      </c>
      <c r="P39" s="2"/>
      <c r="Q39" s="2"/>
      <c r="R39" s="673"/>
      <c r="S39" s="673"/>
      <c r="T39" s="673"/>
      <c r="U39" s="673"/>
      <c r="V39" s="53"/>
      <c r="W39" s="2"/>
      <c r="X39" s="672"/>
      <c r="Y39" s="50"/>
      <c r="Z39" s="55"/>
      <c r="AA39" s="55"/>
      <c r="AB39" s="55"/>
      <c r="AC39" s="51"/>
      <c r="AD39" s="671"/>
      <c r="AE39" s="50"/>
      <c r="AF39" s="50"/>
      <c r="AG39" s="50"/>
      <c r="AH39" s="50"/>
      <c r="AI39" s="50"/>
    </row>
    <row r="40" spans="1:35" ht="19.5">
      <c r="B40" s="520" t="s">
        <v>299</v>
      </c>
      <c r="C40" s="521" t="s">
        <v>300</v>
      </c>
      <c r="D40" s="522">
        <f>AC3+AB3</f>
        <v>3396.4600329384884</v>
      </c>
      <c r="E40" s="523"/>
      <c r="F40" s="521"/>
      <c r="G40" s="523"/>
      <c r="H40" s="523"/>
      <c r="I40" s="523"/>
      <c r="J40" s="562"/>
      <c r="K40" s="563"/>
      <c r="M40" s="14"/>
      <c r="N40" s="12">
        <f>SUM(N36:N39)</f>
        <v>0</v>
      </c>
      <c r="R40" s="675"/>
      <c r="S40" s="675"/>
      <c r="T40" s="676"/>
      <c r="U40" s="677"/>
      <c r="X40" s="672"/>
      <c r="Y40" s="50"/>
      <c r="Z40" s="55"/>
      <c r="AA40" s="55"/>
      <c r="AB40" s="55"/>
      <c r="AC40" s="55"/>
      <c r="AD40" s="671"/>
      <c r="AE40" s="50"/>
      <c r="AF40" s="50"/>
      <c r="AG40" s="50"/>
      <c r="AH40" s="50"/>
      <c r="AI40" s="50"/>
    </row>
    <row r="41" spans="1:35" ht="19.5">
      <c r="B41" s="556" t="s">
        <v>332</v>
      </c>
      <c r="C41" s="550"/>
      <c r="D41" s="551"/>
      <c r="E41" s="550"/>
      <c r="F41" s="550"/>
      <c r="G41" s="557" t="s">
        <v>334</v>
      </c>
      <c r="H41" s="525"/>
      <c r="I41" s="551"/>
      <c r="J41" s="551"/>
      <c r="K41" s="552"/>
      <c r="M41" s="14"/>
      <c r="R41" s="49"/>
      <c r="S41" s="51"/>
      <c r="T41" s="2"/>
      <c r="U41" s="2"/>
      <c r="X41" s="672"/>
      <c r="Y41" s="50"/>
      <c r="Z41" s="55"/>
      <c r="AA41" s="55"/>
      <c r="AB41" s="55"/>
      <c r="AC41" s="55"/>
      <c r="AD41" s="671"/>
      <c r="AE41" s="50"/>
      <c r="AF41" s="50"/>
      <c r="AG41" s="50"/>
      <c r="AH41" s="50"/>
      <c r="AI41" s="50"/>
    </row>
    <row r="42" spans="1:35" ht="18">
      <c r="B42" s="549" t="s">
        <v>6</v>
      </c>
      <c r="C42" s="551">
        <f>E13/2</f>
        <v>112.5</v>
      </c>
      <c r="D42" s="551">
        <f>C42/2</f>
        <v>56.25</v>
      </c>
      <c r="E42" s="551">
        <f>C42*D42</f>
        <v>6328.125</v>
      </c>
      <c r="F42" s="550"/>
      <c r="G42" s="519"/>
      <c r="H42" s="525" t="s">
        <v>5</v>
      </c>
      <c r="I42" s="551">
        <f>E12/2</f>
        <v>350</v>
      </c>
      <c r="J42" s="551">
        <f>I42/2</f>
        <v>175</v>
      </c>
      <c r="K42" s="554">
        <f>I42*J42</f>
        <v>61250</v>
      </c>
      <c r="M42" s="8"/>
      <c r="N42" s="239" t="s">
        <v>389</v>
      </c>
      <c r="O42" s="50"/>
      <c r="P42" s="50"/>
      <c r="Q42" s="50"/>
      <c r="R42" s="709" t="s">
        <v>395</v>
      </c>
      <c r="S42" s="709"/>
      <c r="T42" s="2"/>
      <c r="U42" s="2"/>
      <c r="X42" s="672"/>
      <c r="Y42" s="50"/>
      <c r="Z42" s="55"/>
      <c r="AA42" s="55"/>
      <c r="AB42" s="55"/>
      <c r="AC42" s="55"/>
      <c r="AD42" s="671"/>
      <c r="AE42" s="50"/>
      <c r="AF42" s="50"/>
      <c r="AG42" s="50"/>
      <c r="AH42" s="50"/>
      <c r="AI42" s="50"/>
    </row>
    <row r="43" spans="1:35" ht="16.5" customHeight="1">
      <c r="B43" s="549" t="s">
        <v>329</v>
      </c>
      <c r="C43" s="551">
        <f>MAX(0,E13/2+E15)</f>
        <v>112.5</v>
      </c>
      <c r="D43" s="551">
        <f>C43/2</f>
        <v>56.25</v>
      </c>
      <c r="E43" s="551">
        <f>C43*D43</f>
        <v>6328.125</v>
      </c>
      <c r="F43" s="550"/>
      <c r="G43" s="519"/>
      <c r="H43" s="525" t="s">
        <v>326</v>
      </c>
      <c r="I43" s="551">
        <f>MAX(0,E12/2+E14)</f>
        <v>200</v>
      </c>
      <c r="J43" s="551">
        <f>I43/2</f>
        <v>100</v>
      </c>
      <c r="K43" s="554">
        <f>I43*J43</f>
        <v>20000</v>
      </c>
      <c r="M43" s="8"/>
      <c r="N43" s="630">
        <f>IF(OR(N53=R53,P53=R53),N49,O49)</f>
        <v>0</v>
      </c>
      <c r="O43" s="631">
        <v>0</v>
      </c>
      <c r="P43" s="631">
        <f>IF(OR(N53=S53,P53=S53),N49,O49)</f>
        <v>0</v>
      </c>
      <c r="Q43" s="710" t="s">
        <v>390</v>
      </c>
      <c r="R43" s="643" t="s">
        <v>403</v>
      </c>
      <c r="S43" s="644" t="s">
        <v>404</v>
      </c>
      <c r="T43" s="2"/>
      <c r="U43" s="2"/>
      <c r="W43" s="674"/>
      <c r="X43" s="55"/>
      <c r="Y43" s="55"/>
      <c r="Z43" s="55"/>
      <c r="AA43" s="55"/>
      <c r="AB43" s="55"/>
      <c r="AC43" s="55"/>
      <c r="AD43" s="55"/>
      <c r="AE43" s="50"/>
      <c r="AF43" s="50"/>
      <c r="AG43" s="50"/>
      <c r="AH43" s="50"/>
      <c r="AI43" s="50"/>
    </row>
    <row r="44" spans="1:35" ht="16.5" customHeight="1">
      <c r="B44" s="549" t="s">
        <v>327</v>
      </c>
      <c r="C44" s="550">
        <f>4*G22</f>
        <v>720</v>
      </c>
      <c r="D44" s="551">
        <f>E13/2+G22</f>
        <v>292.5</v>
      </c>
      <c r="E44" s="551">
        <f>C44*D44</f>
        <v>210600</v>
      </c>
      <c r="F44" s="550"/>
      <c r="G44" s="519"/>
      <c r="H44" s="525" t="s">
        <v>331</v>
      </c>
      <c r="I44" s="551">
        <f>C44</f>
        <v>720</v>
      </c>
      <c r="J44" s="551">
        <f>E12/2+G22</f>
        <v>530</v>
      </c>
      <c r="K44" s="554">
        <f>I44*J44</f>
        <v>381600</v>
      </c>
      <c r="M44" s="8"/>
      <c r="N44" s="633">
        <f>IF(OR(N53=R53,O53=R53),N50,P50)</f>
        <v>0</v>
      </c>
      <c r="O44" s="634">
        <v>0</v>
      </c>
      <c r="P44" s="634">
        <f>IF(OR(N53=S53,O53=S53),N50,P50)</f>
        <v>0</v>
      </c>
      <c r="Q44" s="744"/>
      <c r="R44" s="645">
        <f>E$12/2/(E$13/2+Y3)</f>
        <v>0.7407407407407407</v>
      </c>
      <c r="S44" s="646">
        <f>E$13/2/(E$12/2+Y3)</f>
        <v>0.15845070422535212</v>
      </c>
      <c r="U44" s="2"/>
      <c r="V44" s="8"/>
      <c r="W44" s="674"/>
      <c r="X44" s="55"/>
      <c r="Y44" s="664"/>
      <c r="Z44" s="664"/>
      <c r="AA44" s="664"/>
      <c r="AB44" s="664"/>
      <c r="AC44" s="664"/>
      <c r="AD44" s="664"/>
      <c r="AE44" s="51"/>
      <c r="AF44" s="51"/>
      <c r="AG44" s="51"/>
      <c r="AH44" s="51"/>
      <c r="AI44" s="51"/>
    </row>
    <row r="45" spans="1:35" ht="16.5" customHeight="1">
      <c r="B45" s="549" t="s">
        <v>326</v>
      </c>
      <c r="C45" s="550">
        <f>E12+E14</f>
        <v>550</v>
      </c>
      <c r="D45" s="551">
        <f>E13/2+2*G22</f>
        <v>472.5</v>
      </c>
      <c r="E45" s="551">
        <f>C45*D45</f>
        <v>259875</v>
      </c>
      <c r="F45" s="550"/>
      <c r="G45" s="519"/>
      <c r="H45" s="525" t="s">
        <v>329</v>
      </c>
      <c r="I45" s="551">
        <f>E13+E15</f>
        <v>225</v>
      </c>
      <c r="J45" s="551">
        <f>E12/2+2*G22</f>
        <v>710</v>
      </c>
      <c r="K45" s="554">
        <f>I45*J45</f>
        <v>159750</v>
      </c>
      <c r="M45" s="8"/>
      <c r="N45" s="639">
        <f>MAX(0.000001,IF(N44=0,0,ABS(N43/N44)))</f>
        <v>9.9999999999999995E-7</v>
      </c>
      <c r="O45" s="640"/>
      <c r="P45" s="641">
        <f>MAX(0.000001,IF(P44=0,0,ABS(P43/P44)))</f>
        <v>9.9999999999999995E-7</v>
      </c>
      <c r="Q45" s="642" t="s">
        <v>392</v>
      </c>
      <c r="R45" s="645">
        <f>E$12/2/(E$13/2+Y9)</f>
        <v>0.42042042042042044</v>
      </c>
      <c r="S45" s="646">
        <f>E$13/2/(E$12/2+Y9)</f>
        <v>0.10514018691588785</v>
      </c>
      <c r="U45" s="2"/>
      <c r="V45" s="8"/>
      <c r="W45" s="674"/>
      <c r="X45" s="55"/>
      <c r="Y45" s="664"/>
      <c r="Z45" s="664"/>
      <c r="AA45" s="51"/>
      <c r="AB45" s="51"/>
      <c r="AC45" s="51"/>
      <c r="AD45" s="664"/>
      <c r="AE45" s="51"/>
      <c r="AF45" s="51"/>
      <c r="AG45" s="51"/>
      <c r="AH45" s="51"/>
      <c r="AI45" s="51"/>
    </row>
    <row r="46" spans="1:35" ht="16.5" customHeight="1">
      <c r="B46" s="549"/>
      <c r="C46" s="553">
        <f>SUM(C42:C45)</f>
        <v>1495</v>
      </c>
      <c r="D46" s="553">
        <f>E46/C46</f>
        <v>323.16471571906357</v>
      </c>
      <c r="E46" s="553">
        <f>SUM(E42:E45)</f>
        <v>483131.25</v>
      </c>
      <c r="F46" s="550"/>
      <c r="G46" s="519"/>
      <c r="H46" s="525"/>
      <c r="I46" s="553">
        <f>SUM(I42:I45)</f>
        <v>1495</v>
      </c>
      <c r="J46" s="553">
        <f>K46/I46</f>
        <v>416.45484949832775</v>
      </c>
      <c r="K46" s="555">
        <f>SUM(K42:K45)</f>
        <v>622600</v>
      </c>
      <c r="M46" s="14"/>
      <c r="N46" s="630">
        <f t="shared" ref="N46:P47" si="0">$E12/2+N43</f>
        <v>350</v>
      </c>
      <c r="O46" s="631">
        <f t="shared" si="0"/>
        <v>350</v>
      </c>
      <c r="P46" s="632">
        <f t="shared" si="0"/>
        <v>350</v>
      </c>
      <c r="Q46" s="710" t="s">
        <v>391</v>
      </c>
      <c r="R46" s="645">
        <f>E$12/2/(E$13/2+Y5)</f>
        <v>3.1111111111110836</v>
      </c>
      <c r="S46" s="646">
        <f>E$13/2/(E$12/2+Y5)</f>
        <v>0.32142857142857051</v>
      </c>
      <c r="U46" s="2"/>
      <c r="V46" s="8"/>
      <c r="W46" s="674"/>
      <c r="X46" s="55"/>
      <c r="Y46" s="2"/>
      <c r="Z46" s="2"/>
      <c r="AD46" s="55"/>
    </row>
    <row r="47" spans="1:35" ht="19.5">
      <c r="B47" s="556" t="s">
        <v>333</v>
      </c>
      <c r="C47" s="550"/>
      <c r="D47" s="551"/>
      <c r="E47" s="551"/>
      <c r="F47" s="550"/>
      <c r="G47" s="557" t="s">
        <v>335</v>
      </c>
      <c r="H47" s="525"/>
      <c r="I47" s="551"/>
      <c r="J47" s="551"/>
      <c r="K47" s="554"/>
      <c r="M47" s="14"/>
      <c r="N47" s="636">
        <f t="shared" si="0"/>
        <v>112.5</v>
      </c>
      <c r="O47" s="637">
        <f t="shared" si="0"/>
        <v>112.5</v>
      </c>
      <c r="P47" s="638">
        <f t="shared" si="0"/>
        <v>112.5</v>
      </c>
      <c r="Q47" s="711"/>
      <c r="R47" s="647">
        <f>E$12/2/(E$13/2+Y6)</f>
        <v>3.1111111111111112</v>
      </c>
      <c r="S47" s="648">
        <f>E$13/2/(E$12/2+Y6)</f>
        <v>0.32142857142857145</v>
      </c>
      <c r="U47" s="8"/>
      <c r="V47" s="8"/>
      <c r="X47" s="2"/>
      <c r="Y47" s="2"/>
      <c r="Z47" s="2"/>
      <c r="AA47" s="2"/>
      <c r="AB47" s="2"/>
      <c r="AC47" s="2"/>
      <c r="AD47" s="55"/>
    </row>
    <row r="48" spans="1:35">
      <c r="B48" s="549" t="s">
        <v>6</v>
      </c>
      <c r="C48" s="551">
        <f>C42</f>
        <v>112.5</v>
      </c>
      <c r="D48" s="551">
        <f>C48/2</f>
        <v>56.25</v>
      </c>
      <c r="E48" s="551">
        <f>C48*D48</f>
        <v>6328.125</v>
      </c>
      <c r="F48" s="550"/>
      <c r="G48" s="519"/>
      <c r="H48" s="525" t="s">
        <v>5</v>
      </c>
      <c r="I48" s="551">
        <f>I42</f>
        <v>350</v>
      </c>
      <c r="J48" s="551">
        <f>I48/2</f>
        <v>175</v>
      </c>
      <c r="K48" s="554">
        <f>I48*J48</f>
        <v>61250</v>
      </c>
      <c r="N48" s="153" t="s">
        <v>181</v>
      </c>
      <c r="O48" s="154" t="s">
        <v>182</v>
      </c>
      <c r="P48" s="154" t="s">
        <v>183</v>
      </c>
      <c r="Q48" s="155" t="s">
        <v>184</v>
      </c>
      <c r="S48" s="8"/>
      <c r="T48" s="8"/>
      <c r="U48" s="8"/>
      <c r="V48" s="8"/>
      <c r="X48" s="2"/>
      <c r="Y48" s="2"/>
      <c r="Z48" s="2"/>
      <c r="AA48" s="2"/>
      <c r="AB48" s="2"/>
      <c r="AC48" s="2"/>
      <c r="AD48" s="55"/>
    </row>
    <row r="49" spans="2:30">
      <c r="B49" s="549" t="s">
        <v>329</v>
      </c>
      <c r="C49" s="551">
        <f>MIN(E13/2,E13+E15)</f>
        <v>112.5</v>
      </c>
      <c r="D49" s="551">
        <f>E13/2-C49/2</f>
        <v>56.25</v>
      </c>
      <c r="E49" s="551">
        <f>C49*D49</f>
        <v>6328.125</v>
      </c>
      <c r="F49" s="550"/>
      <c r="G49" s="519"/>
      <c r="H49" s="525" t="s">
        <v>326</v>
      </c>
      <c r="I49" s="551">
        <f>MIN(E12/2,E12+E14)</f>
        <v>350</v>
      </c>
      <c r="J49" s="551">
        <f>E12/2-I49/2</f>
        <v>175</v>
      </c>
      <c r="K49" s="554">
        <f>I49*J49</f>
        <v>61250</v>
      </c>
      <c r="N49" s="71">
        <f>H12</f>
        <v>0</v>
      </c>
      <c r="O49" s="67">
        <f>N49+H15</f>
        <v>0</v>
      </c>
      <c r="P49" s="67">
        <f>N49</f>
        <v>0</v>
      </c>
      <c r="Q49" s="68">
        <f>O49</f>
        <v>0</v>
      </c>
      <c r="X49" s="2"/>
      <c r="Y49" s="2"/>
      <c r="Z49" s="2"/>
      <c r="AA49" s="2"/>
      <c r="AB49" s="2"/>
      <c r="AC49" s="2"/>
      <c r="AD49" s="2"/>
    </row>
    <row r="50" spans="2:30">
      <c r="B50" s="549" t="s">
        <v>328</v>
      </c>
      <c r="C50" s="550">
        <f>2*C44</f>
        <v>1440</v>
      </c>
      <c r="D50" s="551">
        <f>D44</f>
        <v>292.5</v>
      </c>
      <c r="E50" s="551">
        <f>C50*D50</f>
        <v>421200</v>
      </c>
      <c r="F50" s="550"/>
      <c r="G50" s="519"/>
      <c r="H50" s="525" t="s">
        <v>330</v>
      </c>
      <c r="I50" s="551">
        <f>C50</f>
        <v>1440</v>
      </c>
      <c r="J50" s="551">
        <f>J44</f>
        <v>530</v>
      </c>
      <c r="K50" s="554">
        <f>I50*J50</f>
        <v>763200</v>
      </c>
      <c r="N50" s="72">
        <f>H13</f>
        <v>0</v>
      </c>
      <c r="O50" s="69">
        <f>N50</f>
        <v>0</v>
      </c>
      <c r="P50" s="69">
        <f>H13+H14</f>
        <v>0</v>
      </c>
      <c r="Q50" s="70">
        <f>P50</f>
        <v>0</v>
      </c>
      <c r="R50" s="654" t="s">
        <v>396</v>
      </c>
      <c r="S50" s="654" t="s">
        <v>397</v>
      </c>
      <c r="X50" s="2"/>
      <c r="Y50" s="2"/>
      <c r="Z50" s="2"/>
      <c r="AA50" s="2"/>
      <c r="AB50" s="2"/>
      <c r="AC50" s="2"/>
      <c r="AD50" s="2"/>
    </row>
    <row r="51" spans="2:30">
      <c r="B51" s="549" t="s">
        <v>5</v>
      </c>
      <c r="C51" s="550">
        <f>E12</f>
        <v>700</v>
      </c>
      <c r="D51" s="551">
        <f>D45</f>
        <v>472.5</v>
      </c>
      <c r="E51" s="551">
        <f>C51*D51</f>
        <v>330750</v>
      </c>
      <c r="F51" s="550"/>
      <c r="G51" s="519"/>
      <c r="H51" s="525" t="s">
        <v>6</v>
      </c>
      <c r="I51" s="551">
        <f>E13</f>
        <v>225</v>
      </c>
      <c r="J51" s="551">
        <f>J45</f>
        <v>710</v>
      </c>
      <c r="K51" s="554">
        <f>I51*J51</f>
        <v>159750</v>
      </c>
      <c r="N51" s="657">
        <f>IF(N50=0,0,N49/N50)</f>
        <v>0</v>
      </c>
      <c r="O51" s="658">
        <f>IF(O50=0,0,O49/O50)</f>
        <v>0</v>
      </c>
      <c r="P51" s="658">
        <f>IF(P50=0,0,P49/P50)</f>
        <v>0</v>
      </c>
      <c r="Q51" s="659">
        <f>IF(Q50=0,0,Q49/Q50)</f>
        <v>0</v>
      </c>
      <c r="R51" s="655">
        <f>MIN(N51:Q51)</f>
        <v>0</v>
      </c>
      <c r="S51" s="655">
        <f>MAX(N51:Q51)</f>
        <v>0</v>
      </c>
      <c r="X51" s="2"/>
      <c r="Y51" s="2"/>
      <c r="Z51" s="2"/>
      <c r="AA51" s="2"/>
      <c r="AB51" s="2"/>
      <c r="AC51" s="2"/>
      <c r="AD51" s="2"/>
    </row>
    <row r="52" spans="2:30">
      <c r="B52" s="549"/>
      <c r="C52" s="553">
        <f>SUM(C48:C51)</f>
        <v>2365</v>
      </c>
      <c r="D52" s="553">
        <f>E52/C52</f>
        <v>323.3007399577167</v>
      </c>
      <c r="E52" s="553">
        <f>SUM(E48:E51)</f>
        <v>764606.25</v>
      </c>
      <c r="F52" s="550"/>
      <c r="G52" s="519"/>
      <c r="H52" s="525"/>
      <c r="I52" s="553">
        <f>SUM(I48:I51)</f>
        <v>2365</v>
      </c>
      <c r="J52" s="553">
        <f>K52/I52</f>
        <v>442.0507399577167</v>
      </c>
      <c r="K52" s="555">
        <f>SUM(K48:K51)</f>
        <v>1045450</v>
      </c>
      <c r="N52" s="660">
        <f>IF(N49=0,0,N50/N49)</f>
        <v>0</v>
      </c>
      <c r="O52" s="661">
        <f>IF(O49=0,0,O50/O49)</f>
        <v>0</v>
      </c>
      <c r="P52" s="661">
        <f>IF(P49=0,0,P50/P49)</f>
        <v>0</v>
      </c>
      <c r="Q52" s="662">
        <f>IF(Q49=0,0,Q50/Q49)</f>
        <v>0</v>
      </c>
      <c r="R52" s="655">
        <f>MIN(N52:Q52)</f>
        <v>0</v>
      </c>
      <c r="S52" s="655">
        <f>MAX(N52:Q52)</f>
        <v>0</v>
      </c>
      <c r="X52" s="2"/>
      <c r="Y52" s="2"/>
      <c r="Z52" s="2"/>
      <c r="AA52" s="2"/>
      <c r="AB52" s="2"/>
      <c r="AC52" s="2"/>
      <c r="AD52" s="2"/>
    </row>
    <row r="53" spans="2:30" ht="19.5">
      <c r="B53" s="549" t="s">
        <v>301</v>
      </c>
      <c r="C53" s="708">
        <f>E46+E52</f>
        <v>1247737.5</v>
      </c>
      <c r="D53" s="708"/>
      <c r="E53" s="558"/>
      <c r="F53" s="558"/>
      <c r="G53" s="525" t="s">
        <v>302</v>
      </c>
      <c r="H53" s="708">
        <f>K46+K52</f>
        <v>1668050</v>
      </c>
      <c r="I53" s="708"/>
      <c r="J53" s="518"/>
      <c r="K53" s="536"/>
      <c r="N53" s="639">
        <f t="shared" ref="N53:S53" si="1">IF($R54&gt;0,N52,N51)</f>
        <v>0</v>
      </c>
      <c r="O53" s="641">
        <f t="shared" si="1"/>
        <v>0</v>
      </c>
      <c r="P53" s="641">
        <f t="shared" si="1"/>
        <v>0</v>
      </c>
      <c r="Q53" s="653">
        <f t="shared" si="1"/>
        <v>0</v>
      </c>
      <c r="R53" s="663">
        <f t="shared" si="1"/>
        <v>0</v>
      </c>
      <c r="S53" s="663">
        <f t="shared" si="1"/>
        <v>0</v>
      </c>
      <c r="T53" s="134" t="s">
        <v>400</v>
      </c>
      <c r="X53" s="2"/>
      <c r="Y53" s="2"/>
      <c r="Z53" s="2"/>
      <c r="AA53" s="2"/>
      <c r="AB53" s="2"/>
      <c r="AC53" s="2"/>
      <c r="AD53" s="2"/>
    </row>
    <row r="54" spans="2:30" ht="19.5">
      <c r="B54" s="549" t="s">
        <v>311</v>
      </c>
      <c r="C54" s="519">
        <f>E13/E12</f>
        <v>0.32142857142857145</v>
      </c>
      <c r="D54" s="525" t="s">
        <v>310</v>
      </c>
      <c r="E54" s="519">
        <f>IF(C54&lt;1,MAX(0.45,0.45+0.15*(C54-0.5)/0.5),MIN(0.8,0.6+0.2*(C54-1)/2))</f>
        <v>0.45</v>
      </c>
      <c r="F54" s="558"/>
      <c r="G54" s="525" t="s">
        <v>311</v>
      </c>
      <c r="H54" s="519">
        <f>1/C54</f>
        <v>3.1111111111111107</v>
      </c>
      <c r="I54" s="525" t="s">
        <v>309</v>
      </c>
      <c r="J54" s="519">
        <f>IF(H54&lt;1,MAX(0.45,0.45+0.15*(H54-0.5)/0.5),MIN(0.8,0.6+0.2*(H54-1)/2))</f>
        <v>0.8</v>
      </c>
      <c r="K54" s="536"/>
      <c r="N54" s="212" t="s">
        <v>398</v>
      </c>
      <c r="O54" s="652">
        <f>IF(H12&gt;0,1,0)</f>
        <v>0</v>
      </c>
      <c r="P54" s="133" t="s">
        <v>399</v>
      </c>
      <c r="Q54" s="19">
        <f>IF(H12&lt;-H15,1,0)</f>
        <v>0</v>
      </c>
      <c r="R54" s="656">
        <f>O54+Q54</f>
        <v>0</v>
      </c>
      <c r="X54" s="2"/>
      <c r="Y54" s="2"/>
      <c r="Z54" s="2"/>
      <c r="AA54" s="2"/>
      <c r="AB54" s="2"/>
      <c r="AC54" s="2"/>
      <c r="AD54" s="2"/>
    </row>
    <row r="55" spans="2:30" ht="19.5">
      <c r="B55" s="549" t="s">
        <v>336</v>
      </c>
      <c r="C55" s="519">
        <f>E13/2/E12</f>
        <v>0.16071428571428573</v>
      </c>
      <c r="D55" s="525" t="s">
        <v>337</v>
      </c>
      <c r="E55" s="519">
        <f>IF(C55&lt;1,MAX(0.45,0.45+0.15*(C55-0.5)/0.5),MIN(0.8,0.6+0.2*(C55-1)/2))</f>
        <v>0.45</v>
      </c>
      <c r="F55" s="558"/>
      <c r="G55" s="525" t="s">
        <v>336</v>
      </c>
      <c r="H55" s="519">
        <f>E12/2/E13</f>
        <v>1.5555555555555556</v>
      </c>
      <c r="I55" s="525" t="s">
        <v>338</v>
      </c>
      <c r="J55" s="519">
        <f>IF(H55&lt;1,MAX(0.45,0.45+0.15*(H55-0.5)/0.5),MIN(0.8,0.6+0.2*(H55-1)/2))</f>
        <v>0.65555555555555556</v>
      </c>
      <c r="K55" s="527"/>
      <c r="N55" s="14"/>
      <c r="X55" s="2"/>
      <c r="Y55" s="2"/>
      <c r="Z55" s="2"/>
      <c r="AA55" s="2"/>
      <c r="AB55" s="2"/>
      <c r="AC55" s="2"/>
      <c r="AD55" s="2"/>
    </row>
    <row r="56" spans="2:30" ht="19.5">
      <c r="B56" s="559" t="s">
        <v>339</v>
      </c>
      <c r="C56" s="519">
        <f>1000*H18/E17</f>
        <v>32.314410480349345</v>
      </c>
      <c r="D56" s="525" t="s">
        <v>307</v>
      </c>
      <c r="E56" s="561">
        <f>1+1000*E54*H17/E17*D40/C53+E55*D40/H53*C56</f>
        <v>1.1061012260888436</v>
      </c>
      <c r="F56" s="558"/>
      <c r="G56" s="560" t="s">
        <v>339</v>
      </c>
      <c r="H56" s="519">
        <f>1000*H17/E17</f>
        <v>62.445414847161572</v>
      </c>
      <c r="I56" s="525" t="s">
        <v>308</v>
      </c>
      <c r="J56" s="519">
        <f>1+1000*J54*H18/E17*D40/H53+J54*D40/C53*H56</f>
        <v>1.1886244019357219</v>
      </c>
      <c r="K56" s="527"/>
      <c r="W56" s="3"/>
      <c r="X56" s="2"/>
      <c r="Y56" s="2"/>
      <c r="Z56" s="2"/>
      <c r="AA56" s="2"/>
      <c r="AB56" s="2"/>
      <c r="AC56" s="2"/>
      <c r="AD56" s="2"/>
    </row>
    <row r="57" spans="2:30" ht="15.75" thickBot="1">
      <c r="B57" s="528"/>
      <c r="C57" s="529"/>
      <c r="D57" s="530"/>
      <c r="E57" s="530"/>
      <c r="F57" s="531"/>
      <c r="G57" s="529"/>
      <c r="H57" s="531"/>
      <c r="I57" s="531"/>
      <c r="J57" s="529" t="s">
        <v>340</v>
      </c>
      <c r="K57" s="532">
        <f>MAX(E56,J56)</f>
        <v>1.1886244019357219</v>
      </c>
      <c r="L57" s="542" t="s">
        <v>341</v>
      </c>
      <c r="O57" s="3"/>
      <c r="P57" s="3"/>
      <c r="Q57" s="3"/>
      <c r="R57" s="3"/>
      <c r="S57" s="3"/>
      <c r="T57" s="3"/>
      <c r="U57" s="3"/>
      <c r="V57" s="3"/>
      <c r="X57" s="2"/>
      <c r="Y57" s="2"/>
      <c r="Z57" s="2"/>
      <c r="AA57" s="2"/>
      <c r="AB57" s="2"/>
      <c r="AC57" s="2"/>
      <c r="AD57" s="2"/>
    </row>
    <row r="58" spans="2:30">
      <c r="N58" s="2"/>
      <c r="O58" s="2"/>
      <c r="P58" s="2"/>
      <c r="Q58" s="2"/>
      <c r="R58" s="2"/>
      <c r="S58" s="2"/>
      <c r="T58" s="2"/>
      <c r="U58" s="2"/>
      <c r="V58" s="2"/>
      <c r="W58" s="2"/>
      <c r="X58" s="2"/>
      <c r="Y58" s="2"/>
      <c r="Z58" s="2"/>
      <c r="AA58" s="2"/>
      <c r="AB58" s="2"/>
      <c r="AC58" s="2"/>
      <c r="AD58" s="2"/>
    </row>
    <row r="59" spans="2:30">
      <c r="N59" s="2"/>
      <c r="O59" s="2"/>
      <c r="P59" s="2"/>
      <c r="Q59" s="2"/>
      <c r="R59" s="2"/>
      <c r="S59" s="2"/>
      <c r="T59" s="2"/>
      <c r="U59" s="2"/>
      <c r="V59" s="2"/>
      <c r="W59" s="2"/>
      <c r="X59" s="2"/>
      <c r="Y59" s="2"/>
      <c r="Z59" s="2"/>
      <c r="AA59" s="2"/>
      <c r="AB59" s="2"/>
      <c r="AC59" s="2"/>
      <c r="AD59" s="2"/>
    </row>
    <row r="60" spans="2:30">
      <c r="N60" s="2"/>
      <c r="O60" s="2"/>
      <c r="P60" s="2"/>
      <c r="Q60" s="2"/>
      <c r="R60" s="2"/>
      <c r="S60" s="2"/>
      <c r="T60" s="2"/>
      <c r="U60" s="2"/>
      <c r="V60" s="2"/>
      <c r="W60" s="2"/>
      <c r="X60" s="2"/>
      <c r="Y60" s="2"/>
      <c r="Z60" s="2"/>
      <c r="AA60" s="2"/>
      <c r="AB60" s="2"/>
      <c r="AC60" s="2"/>
      <c r="AD60" s="2"/>
    </row>
    <row r="61" spans="2:30">
      <c r="N61" s="2"/>
      <c r="O61" s="2"/>
      <c r="P61" s="2"/>
      <c r="Q61" s="2"/>
      <c r="R61" s="2"/>
      <c r="S61" s="2"/>
      <c r="T61" s="2"/>
      <c r="U61" s="2"/>
      <c r="V61" s="2"/>
      <c r="W61" s="2"/>
      <c r="X61" s="2"/>
      <c r="Y61" s="2"/>
      <c r="Z61" s="2"/>
      <c r="AA61" s="2"/>
      <c r="AB61" s="2"/>
      <c r="AC61" s="2"/>
      <c r="AD61" s="2"/>
    </row>
    <row r="62" spans="2:30">
      <c r="N62" s="2"/>
      <c r="O62" s="2"/>
      <c r="P62" s="2"/>
      <c r="Q62" s="2"/>
      <c r="R62" s="2"/>
      <c r="S62" s="2"/>
      <c r="T62" s="2"/>
      <c r="U62" s="2"/>
      <c r="V62" s="2"/>
      <c r="W62" s="2"/>
      <c r="X62" s="2"/>
      <c r="Y62" s="2"/>
      <c r="Z62" s="2"/>
      <c r="AA62" s="2"/>
      <c r="AB62" s="2"/>
      <c r="AC62" s="2"/>
      <c r="AD62" s="2"/>
    </row>
    <row r="63" spans="2:30">
      <c r="N63" s="2"/>
      <c r="O63" s="2"/>
      <c r="P63" s="2"/>
      <c r="Q63" s="2"/>
      <c r="R63" s="2"/>
      <c r="S63" s="2"/>
      <c r="T63" s="2"/>
      <c r="U63" s="2"/>
      <c r="V63" s="2"/>
      <c r="W63" s="2"/>
      <c r="X63" s="2"/>
      <c r="Y63" s="2"/>
      <c r="Z63" s="2"/>
      <c r="AA63" s="2"/>
      <c r="AB63" s="2"/>
      <c r="AC63" s="2"/>
      <c r="AD63" s="2"/>
    </row>
    <row r="64" spans="2:30">
      <c r="N64" s="2"/>
      <c r="O64" s="2"/>
      <c r="P64" s="2"/>
      <c r="Q64" s="2"/>
      <c r="R64" s="2"/>
      <c r="S64" s="2"/>
      <c r="T64" s="2"/>
      <c r="U64" s="2"/>
      <c r="V64" s="2"/>
      <c r="W64" s="2"/>
      <c r="X64" s="2"/>
      <c r="Y64" s="2"/>
      <c r="Z64" s="2"/>
      <c r="AA64" s="2"/>
      <c r="AB64" s="2"/>
      <c r="AC64" s="2"/>
      <c r="AD64" s="2"/>
    </row>
    <row r="65" spans="14:30">
      <c r="N65" s="2"/>
      <c r="O65" s="2"/>
      <c r="P65" s="2"/>
      <c r="Q65" s="2"/>
      <c r="R65" s="2"/>
      <c r="S65" s="2"/>
      <c r="T65" s="2"/>
      <c r="U65" s="2"/>
      <c r="V65" s="2"/>
      <c r="W65" s="2"/>
      <c r="X65" s="2"/>
      <c r="Y65" s="2"/>
      <c r="Z65" s="2"/>
      <c r="AA65" s="2"/>
      <c r="AB65" s="2"/>
      <c r="AC65" s="2"/>
      <c r="AD65" s="2"/>
    </row>
    <row r="66" spans="14:30">
      <c r="N66" s="2"/>
      <c r="O66" s="2"/>
      <c r="P66" s="2"/>
      <c r="Q66" s="2"/>
      <c r="R66" s="2"/>
      <c r="S66" s="2"/>
      <c r="T66" s="2"/>
      <c r="U66" s="2"/>
      <c r="V66" s="2"/>
      <c r="W66" s="2"/>
      <c r="X66" s="2"/>
      <c r="Y66" s="2"/>
      <c r="Z66" s="2"/>
      <c r="AA66" s="2"/>
      <c r="AB66" s="2"/>
      <c r="AC66" s="2"/>
      <c r="AD66" s="2"/>
    </row>
    <row r="67" spans="14:30">
      <c r="N67" s="2"/>
      <c r="O67" s="2"/>
      <c r="P67" s="2"/>
      <c r="Q67" s="2"/>
      <c r="R67" s="2"/>
      <c r="S67" s="2"/>
      <c r="T67" s="2"/>
      <c r="U67" s="2"/>
      <c r="V67" s="2"/>
      <c r="W67" s="2"/>
      <c r="X67" s="2"/>
      <c r="Y67" s="2"/>
      <c r="Z67" s="2"/>
      <c r="AA67" s="2"/>
      <c r="AB67" s="2"/>
      <c r="AC67" s="2"/>
      <c r="AD67" s="2"/>
    </row>
    <row r="68" spans="14:30">
      <c r="N68" s="2"/>
      <c r="O68" s="2"/>
      <c r="P68" s="2"/>
      <c r="Q68" s="2"/>
      <c r="R68" s="2"/>
      <c r="S68" s="2"/>
      <c r="T68" s="2"/>
      <c r="U68" s="2"/>
      <c r="V68" s="2"/>
      <c r="W68" s="2"/>
      <c r="X68" s="2"/>
      <c r="Y68" s="2"/>
      <c r="Z68" s="2"/>
      <c r="AA68" s="2"/>
      <c r="AB68" s="2"/>
      <c r="AC68" s="2"/>
      <c r="AD68" s="2"/>
    </row>
    <row r="69" spans="14:30">
      <c r="N69" s="2"/>
      <c r="O69" s="2"/>
      <c r="P69" s="2"/>
      <c r="Q69" s="2"/>
      <c r="R69" s="2"/>
      <c r="S69" s="2"/>
      <c r="T69" s="2"/>
      <c r="U69" s="2"/>
      <c r="V69" s="2"/>
      <c r="W69" s="2"/>
      <c r="X69" s="2"/>
      <c r="Y69" s="2"/>
      <c r="Z69" s="2"/>
      <c r="AA69" s="2"/>
      <c r="AB69" s="2"/>
      <c r="AC69" s="2"/>
      <c r="AD69" s="2"/>
    </row>
    <row r="70" spans="14:30">
      <c r="N70" s="2"/>
      <c r="O70" s="2"/>
      <c r="P70" s="2"/>
      <c r="Q70" s="2"/>
      <c r="R70" s="2"/>
      <c r="S70" s="2"/>
      <c r="T70" s="2"/>
      <c r="U70" s="2"/>
      <c r="V70" s="2"/>
      <c r="W70" s="2"/>
      <c r="X70" s="2"/>
      <c r="Y70" s="2"/>
      <c r="Z70" s="2"/>
      <c r="AA70" s="2"/>
      <c r="AB70" s="2"/>
      <c r="AC70" s="2"/>
      <c r="AD70" s="2"/>
    </row>
    <row r="71" spans="14:30">
      <c r="N71" s="2"/>
      <c r="O71" s="2"/>
      <c r="P71" s="2"/>
      <c r="Q71" s="2"/>
      <c r="R71" s="2"/>
      <c r="S71" s="2"/>
      <c r="T71" s="2"/>
      <c r="U71" s="2"/>
      <c r="V71" s="2"/>
      <c r="W71" s="2"/>
      <c r="X71" s="2"/>
      <c r="Y71" s="2"/>
      <c r="Z71" s="2"/>
      <c r="AA71" s="2"/>
      <c r="AB71" s="2"/>
      <c r="AC71" s="2"/>
      <c r="AD71" s="2"/>
    </row>
    <row r="72" spans="14:30">
      <c r="N72" s="2"/>
      <c r="O72" s="2"/>
      <c r="P72" s="2"/>
      <c r="Q72" s="2"/>
      <c r="R72" s="2"/>
      <c r="S72" s="2"/>
      <c r="T72" s="2"/>
      <c r="U72" s="2"/>
      <c r="V72" s="2"/>
      <c r="W72" s="2"/>
      <c r="X72" s="2"/>
      <c r="Y72" s="2"/>
      <c r="Z72" s="2"/>
      <c r="AA72" s="2"/>
      <c r="AB72" s="2"/>
      <c r="AC72" s="2"/>
      <c r="AD72" s="2"/>
    </row>
    <row r="73" spans="14:30">
      <c r="N73" s="2"/>
      <c r="O73" s="2"/>
      <c r="P73" s="2"/>
      <c r="Q73" s="2"/>
      <c r="R73" s="2"/>
      <c r="S73" s="2"/>
      <c r="T73" s="2"/>
      <c r="U73" s="2"/>
      <c r="V73" s="2"/>
      <c r="W73" s="2"/>
      <c r="X73" s="2"/>
      <c r="Y73" s="2"/>
      <c r="Z73" s="2"/>
      <c r="AA73" s="2"/>
      <c r="AB73" s="2"/>
      <c r="AC73" s="2"/>
      <c r="AD73" s="2"/>
    </row>
    <row r="74" spans="14:30">
      <c r="N74" s="2"/>
      <c r="O74" s="2"/>
      <c r="P74" s="2"/>
      <c r="Q74" s="2"/>
      <c r="R74" s="2"/>
      <c r="S74" s="2"/>
      <c r="T74" s="2"/>
      <c r="U74" s="2"/>
      <c r="V74" s="2"/>
      <c r="W74" s="2"/>
      <c r="X74" s="2"/>
      <c r="Y74" s="2"/>
      <c r="Z74" s="2"/>
      <c r="AA74" s="2"/>
      <c r="AB74" s="2"/>
      <c r="AC74" s="2"/>
      <c r="AD74" s="2"/>
    </row>
    <row r="75" spans="14:30">
      <c r="N75" s="2"/>
      <c r="O75" s="2"/>
      <c r="P75" s="2"/>
      <c r="Q75" s="2"/>
      <c r="R75" s="2"/>
      <c r="S75" s="2"/>
      <c r="T75" s="2"/>
      <c r="U75" s="2"/>
      <c r="V75" s="2"/>
      <c r="W75" s="2"/>
      <c r="X75" s="2"/>
      <c r="Y75" s="2"/>
      <c r="Z75" s="2"/>
      <c r="AA75" s="2"/>
      <c r="AB75" s="2"/>
      <c r="AC75" s="2"/>
      <c r="AD75" s="2"/>
    </row>
    <row r="76" spans="14:30">
      <c r="N76" s="2"/>
      <c r="O76" s="2"/>
      <c r="P76" s="2"/>
      <c r="Q76" s="2"/>
      <c r="R76" s="2"/>
      <c r="S76" s="2"/>
      <c r="T76" s="2"/>
      <c r="U76" s="2"/>
      <c r="V76" s="2"/>
      <c r="W76" s="2"/>
      <c r="X76" s="2"/>
      <c r="Y76" s="2"/>
      <c r="Z76" s="2"/>
      <c r="AA76" s="2"/>
      <c r="AB76" s="2"/>
      <c r="AC76" s="2"/>
      <c r="AD76" s="2"/>
    </row>
    <row r="77" spans="14:30">
      <c r="N77" s="2"/>
      <c r="O77" s="2"/>
      <c r="P77" s="2"/>
      <c r="Q77" s="2"/>
      <c r="R77" s="2"/>
      <c r="S77" s="2"/>
      <c r="T77" s="2"/>
      <c r="U77" s="2"/>
      <c r="V77" s="2"/>
      <c r="W77" s="2"/>
      <c r="X77" s="2"/>
      <c r="Y77" s="2"/>
      <c r="Z77" s="2"/>
      <c r="AA77" s="2"/>
      <c r="AB77" s="2"/>
      <c r="AC77" s="2"/>
      <c r="AD77" s="2"/>
    </row>
    <row r="78" spans="14:30">
      <c r="N78" s="2"/>
      <c r="O78" s="2"/>
      <c r="P78" s="2"/>
      <c r="Q78" s="2"/>
      <c r="R78" s="2"/>
      <c r="S78" s="2"/>
      <c r="T78" s="2"/>
      <c r="U78" s="2"/>
      <c r="V78" s="2"/>
      <c r="W78" s="2"/>
      <c r="X78" s="2"/>
      <c r="Y78" s="2"/>
      <c r="Z78" s="2"/>
      <c r="AA78" s="2"/>
      <c r="AB78" s="2"/>
      <c r="AC78" s="2"/>
      <c r="AD78" s="2"/>
    </row>
    <row r="79" spans="14:30">
      <c r="N79" s="2"/>
      <c r="O79" s="2"/>
      <c r="P79" s="2"/>
      <c r="Q79" s="2"/>
      <c r="R79" s="2"/>
      <c r="S79" s="2"/>
      <c r="T79" s="2"/>
      <c r="U79" s="2"/>
      <c r="V79" s="2"/>
      <c r="W79" s="2"/>
      <c r="X79" s="2"/>
      <c r="Y79" s="2"/>
      <c r="Z79" s="2"/>
      <c r="AA79" s="2"/>
      <c r="AB79" s="2"/>
      <c r="AC79" s="2"/>
      <c r="AD79" s="2"/>
    </row>
    <row r="80" spans="14:30">
      <c r="N80" s="2"/>
      <c r="O80" s="2"/>
      <c r="P80" s="2"/>
      <c r="Q80" s="2"/>
      <c r="R80" s="2"/>
      <c r="S80" s="2"/>
      <c r="T80" s="2"/>
      <c r="U80" s="2"/>
      <c r="V80" s="2"/>
      <c r="W80" s="2"/>
      <c r="X80" s="2"/>
      <c r="Y80" s="2"/>
      <c r="Z80" s="2"/>
      <c r="AA80" s="2"/>
      <c r="AB80" s="2"/>
      <c r="AC80" s="2"/>
      <c r="AD80" s="2"/>
    </row>
    <row r="81" spans="14:30">
      <c r="N81" s="2"/>
      <c r="O81" s="2"/>
      <c r="P81" s="2"/>
      <c r="Q81" s="2"/>
      <c r="R81" s="2"/>
      <c r="S81" s="2"/>
      <c r="T81" s="2"/>
      <c r="U81" s="2"/>
      <c r="V81" s="2"/>
      <c r="W81" s="2"/>
      <c r="X81" s="2"/>
      <c r="Y81" s="2"/>
      <c r="Z81" s="2"/>
      <c r="AA81" s="2"/>
      <c r="AB81" s="2"/>
      <c r="AC81" s="2"/>
      <c r="AD81" s="2"/>
    </row>
    <row r="82" spans="14:30">
      <c r="N82" s="2"/>
      <c r="O82" s="2"/>
      <c r="P82" s="2"/>
      <c r="Q82" s="2"/>
      <c r="R82" s="2"/>
      <c r="S82" s="2"/>
      <c r="T82" s="2"/>
      <c r="U82" s="2"/>
      <c r="V82" s="2"/>
      <c r="W82" s="2"/>
      <c r="X82" s="2"/>
      <c r="Y82" s="2"/>
      <c r="Z82" s="2"/>
      <c r="AA82" s="2"/>
      <c r="AB82" s="2"/>
      <c r="AC82" s="2"/>
      <c r="AD82" s="2"/>
    </row>
    <row r="83" spans="14:30">
      <c r="N83" s="2"/>
      <c r="O83" s="2"/>
      <c r="P83" s="2"/>
      <c r="Q83" s="2"/>
      <c r="R83" s="2"/>
      <c r="S83" s="2"/>
      <c r="T83" s="2"/>
      <c r="U83" s="2"/>
      <c r="V83" s="2"/>
      <c r="W83" s="2"/>
      <c r="X83" s="2"/>
      <c r="Y83" s="2"/>
      <c r="Z83" s="2"/>
      <c r="AA83" s="2"/>
      <c r="AB83" s="2"/>
      <c r="AC83" s="2"/>
      <c r="AD83" s="2"/>
    </row>
    <row r="84" spans="14:30">
      <c r="N84" s="2"/>
      <c r="O84" s="2"/>
      <c r="P84" s="2"/>
      <c r="Q84" s="2"/>
      <c r="R84" s="2"/>
      <c r="S84" s="2"/>
      <c r="T84" s="2"/>
      <c r="U84" s="2"/>
      <c r="V84" s="2"/>
      <c r="W84" s="2"/>
      <c r="X84" s="2"/>
      <c r="Y84" s="2"/>
      <c r="Z84" s="2"/>
      <c r="AA84" s="2"/>
      <c r="AB84" s="2"/>
      <c r="AC84" s="2"/>
      <c r="AD84" s="2"/>
    </row>
    <row r="85" spans="14:30">
      <c r="N85" s="2"/>
      <c r="O85" s="2"/>
      <c r="P85" s="2"/>
      <c r="Q85" s="2"/>
      <c r="R85" s="2"/>
      <c r="S85" s="2"/>
      <c r="T85" s="2"/>
      <c r="U85" s="2"/>
      <c r="V85" s="2"/>
      <c r="W85" s="2"/>
      <c r="X85" s="2"/>
      <c r="Y85" s="2"/>
      <c r="Z85" s="2"/>
      <c r="AA85" s="2"/>
      <c r="AB85" s="2"/>
      <c r="AC85" s="2"/>
      <c r="AD85" s="2"/>
    </row>
    <row r="86" spans="14:30">
      <c r="N86" s="2"/>
      <c r="O86" s="2"/>
      <c r="P86" s="2"/>
      <c r="Q86" s="2"/>
      <c r="R86" s="2"/>
      <c r="S86" s="2"/>
      <c r="T86" s="2"/>
      <c r="U86" s="2"/>
      <c r="V86" s="2"/>
      <c r="W86" s="2"/>
      <c r="X86" s="2"/>
      <c r="Y86" s="2"/>
      <c r="Z86" s="2"/>
      <c r="AA86" s="2"/>
      <c r="AB86" s="2"/>
      <c r="AC86" s="2"/>
      <c r="AD86" s="2"/>
    </row>
    <row r="87" spans="14:30">
      <c r="N87" s="2"/>
      <c r="O87" s="2"/>
      <c r="P87" s="2"/>
      <c r="Q87" s="2"/>
      <c r="R87" s="2"/>
      <c r="S87" s="2"/>
      <c r="T87" s="2"/>
      <c r="U87" s="2"/>
      <c r="V87" s="2"/>
      <c r="W87" s="2"/>
      <c r="X87" s="2"/>
      <c r="Y87" s="2"/>
      <c r="Z87" s="2"/>
      <c r="AA87" s="2"/>
      <c r="AB87" s="2"/>
      <c r="AC87" s="2"/>
      <c r="AD87" s="2"/>
    </row>
    <row r="88" spans="14:30">
      <c r="N88" s="2"/>
      <c r="O88" s="2"/>
      <c r="P88" s="2"/>
      <c r="Q88" s="2"/>
      <c r="R88" s="2"/>
      <c r="S88" s="2"/>
      <c r="T88" s="2"/>
      <c r="U88" s="2"/>
      <c r="V88" s="2"/>
      <c r="W88" s="2"/>
      <c r="X88" s="2"/>
      <c r="Y88" s="2"/>
      <c r="Z88" s="2"/>
      <c r="AA88" s="2"/>
      <c r="AB88" s="2"/>
      <c r="AC88" s="2"/>
      <c r="AD88" s="2"/>
    </row>
    <row r="89" spans="14:30">
      <c r="N89" s="2"/>
      <c r="O89" s="2"/>
      <c r="P89" s="2"/>
      <c r="Q89" s="2"/>
      <c r="R89" s="2"/>
      <c r="S89" s="2"/>
      <c r="T89" s="2"/>
      <c r="U89" s="2"/>
      <c r="V89" s="2"/>
      <c r="W89" s="2"/>
      <c r="X89" s="2"/>
      <c r="Y89" s="2"/>
      <c r="Z89" s="2"/>
      <c r="AA89" s="2"/>
      <c r="AB89" s="2"/>
      <c r="AC89" s="2"/>
      <c r="AD89" s="2"/>
    </row>
    <row r="90" spans="14:30">
      <c r="N90" s="2"/>
      <c r="O90" s="2"/>
      <c r="P90" s="2"/>
      <c r="Q90" s="2"/>
      <c r="R90" s="2"/>
      <c r="S90" s="2"/>
      <c r="T90" s="2"/>
      <c r="U90" s="2"/>
      <c r="V90" s="2"/>
      <c r="W90" s="2"/>
      <c r="X90" s="2"/>
      <c r="Y90" s="2"/>
      <c r="Z90" s="2"/>
      <c r="AA90" s="2"/>
      <c r="AB90" s="2"/>
      <c r="AC90" s="2"/>
      <c r="AD90" s="2"/>
    </row>
    <row r="91" spans="14:30">
      <c r="N91" s="2"/>
      <c r="O91" s="2"/>
      <c r="P91" s="2"/>
      <c r="Q91" s="2"/>
      <c r="R91" s="2"/>
      <c r="S91" s="2"/>
      <c r="T91" s="2"/>
      <c r="U91" s="2"/>
      <c r="V91" s="2"/>
      <c r="W91" s="2"/>
      <c r="X91" s="2"/>
      <c r="Y91" s="2"/>
      <c r="Z91" s="2"/>
      <c r="AA91" s="2"/>
      <c r="AB91" s="2"/>
      <c r="AC91" s="2"/>
      <c r="AD91" s="2"/>
    </row>
    <row r="92" spans="14:30">
      <c r="N92" s="2"/>
      <c r="O92" s="2"/>
      <c r="P92" s="2"/>
      <c r="Q92" s="2"/>
      <c r="R92" s="2"/>
      <c r="S92" s="2"/>
      <c r="T92" s="2"/>
      <c r="U92" s="2"/>
      <c r="V92" s="2"/>
      <c r="W92" s="2"/>
      <c r="X92" s="2"/>
      <c r="Y92" s="2"/>
      <c r="Z92" s="2"/>
      <c r="AA92" s="2"/>
      <c r="AB92" s="2"/>
      <c r="AC92" s="2"/>
      <c r="AD92" s="2"/>
    </row>
    <row r="93" spans="14:30">
      <c r="N93" s="2"/>
      <c r="O93" s="2"/>
      <c r="P93" s="2"/>
      <c r="Q93" s="2"/>
      <c r="R93" s="2"/>
      <c r="S93" s="2"/>
      <c r="T93" s="2"/>
      <c r="U93" s="2"/>
      <c r="V93" s="2"/>
      <c r="W93" s="2"/>
      <c r="X93" s="2"/>
      <c r="Y93" s="2"/>
      <c r="Z93" s="2"/>
      <c r="AA93" s="2"/>
      <c r="AB93" s="2"/>
      <c r="AC93" s="2"/>
      <c r="AD93" s="2"/>
    </row>
    <row r="94" spans="14:30">
      <c r="N94" s="2"/>
      <c r="O94" s="2"/>
      <c r="P94" s="2"/>
      <c r="Q94" s="2"/>
      <c r="R94" s="2"/>
      <c r="S94" s="2"/>
      <c r="T94" s="2"/>
      <c r="U94" s="2"/>
      <c r="V94" s="2"/>
      <c r="W94" s="2"/>
      <c r="X94" s="2"/>
      <c r="Y94" s="2"/>
      <c r="Z94" s="2"/>
      <c r="AA94" s="2"/>
      <c r="AB94" s="2"/>
      <c r="AC94" s="2"/>
      <c r="AD94" s="2"/>
    </row>
    <row r="95" spans="14:30">
      <c r="N95" s="2"/>
      <c r="O95" s="2"/>
      <c r="P95" s="2"/>
      <c r="Q95" s="2"/>
      <c r="R95" s="2"/>
      <c r="S95" s="2"/>
      <c r="T95" s="2"/>
      <c r="U95" s="2"/>
      <c r="V95" s="2"/>
      <c r="W95" s="2"/>
      <c r="X95" s="2"/>
      <c r="Y95" s="2"/>
      <c r="Z95" s="2"/>
      <c r="AA95" s="2"/>
      <c r="AB95" s="2"/>
      <c r="AC95" s="2"/>
      <c r="AD95" s="2"/>
    </row>
    <row r="96" spans="14:30">
      <c r="N96" s="2"/>
      <c r="O96" s="2"/>
      <c r="P96" s="2"/>
      <c r="Q96" s="2"/>
      <c r="R96" s="2"/>
      <c r="S96" s="2"/>
      <c r="T96" s="2"/>
      <c r="U96" s="2"/>
      <c r="V96" s="2"/>
      <c r="W96" s="2"/>
      <c r="X96" s="2"/>
      <c r="Y96" s="2"/>
      <c r="Z96" s="2"/>
      <c r="AA96" s="2"/>
      <c r="AB96" s="2"/>
      <c r="AC96" s="2"/>
      <c r="AD96" s="2"/>
    </row>
    <row r="97" spans="14:30">
      <c r="N97" s="2"/>
      <c r="O97" s="2"/>
      <c r="P97" s="2"/>
      <c r="Q97" s="2"/>
      <c r="R97" s="2"/>
      <c r="S97" s="2"/>
      <c r="T97" s="2"/>
      <c r="U97" s="2"/>
      <c r="V97" s="2"/>
      <c r="W97" s="2"/>
      <c r="X97" s="2"/>
      <c r="Y97" s="2"/>
      <c r="Z97" s="2"/>
      <c r="AA97" s="2"/>
      <c r="AB97" s="2"/>
      <c r="AC97" s="2"/>
      <c r="AD97" s="2"/>
    </row>
    <row r="98" spans="14:30">
      <c r="N98" s="2"/>
      <c r="O98" s="2"/>
      <c r="P98" s="2"/>
      <c r="Q98" s="2"/>
      <c r="R98" s="2"/>
      <c r="S98" s="2"/>
      <c r="T98" s="2"/>
      <c r="U98" s="2"/>
      <c r="V98" s="2"/>
      <c r="W98" s="2"/>
      <c r="X98" s="2"/>
      <c r="Y98" s="2"/>
      <c r="Z98" s="2"/>
      <c r="AA98" s="2"/>
      <c r="AB98" s="2"/>
      <c r="AC98" s="2"/>
      <c r="AD98" s="2"/>
    </row>
    <row r="99" spans="14:30">
      <c r="N99" s="2"/>
      <c r="O99" s="2"/>
      <c r="P99" s="2"/>
      <c r="Q99" s="2"/>
      <c r="R99" s="2"/>
      <c r="S99" s="2"/>
      <c r="T99" s="2"/>
      <c r="U99" s="2"/>
      <c r="V99" s="2"/>
      <c r="W99" s="2"/>
      <c r="X99" s="2"/>
      <c r="Y99" s="2"/>
      <c r="Z99" s="2"/>
      <c r="AA99" s="2"/>
      <c r="AB99" s="2"/>
      <c r="AC99" s="2"/>
      <c r="AD99" s="2"/>
    </row>
    <row r="100" spans="14:30">
      <c r="N100" s="2"/>
      <c r="O100" s="2"/>
      <c r="P100" s="2"/>
      <c r="Q100" s="2"/>
      <c r="R100" s="2"/>
      <c r="S100" s="2"/>
      <c r="T100" s="2"/>
      <c r="U100" s="2"/>
      <c r="V100" s="2"/>
      <c r="W100" s="2"/>
      <c r="X100" s="2"/>
      <c r="Y100" s="2"/>
      <c r="Z100" s="2"/>
      <c r="AA100" s="2"/>
      <c r="AB100" s="2"/>
      <c r="AC100" s="2"/>
      <c r="AD100" s="2"/>
    </row>
    <row r="101" spans="14:30">
      <c r="N101" s="2"/>
      <c r="O101" s="2"/>
      <c r="P101" s="2"/>
      <c r="Q101" s="2"/>
      <c r="R101" s="2"/>
      <c r="S101" s="2"/>
      <c r="T101" s="2"/>
      <c r="U101" s="2"/>
      <c r="V101" s="2"/>
      <c r="W101" s="2"/>
      <c r="X101" s="2"/>
      <c r="Y101" s="2"/>
      <c r="Z101" s="2"/>
      <c r="AA101" s="2"/>
      <c r="AB101" s="2"/>
      <c r="AC101" s="2"/>
      <c r="AD101" s="2"/>
    </row>
    <row r="102" spans="14:30">
      <c r="N102" s="2"/>
      <c r="O102" s="2"/>
      <c r="P102" s="2"/>
      <c r="Q102" s="2"/>
      <c r="R102" s="2"/>
      <c r="S102" s="2"/>
      <c r="T102" s="2"/>
      <c r="U102" s="2"/>
      <c r="V102" s="2"/>
      <c r="W102" s="2"/>
      <c r="X102" s="2"/>
      <c r="Y102" s="2"/>
      <c r="Z102" s="2"/>
      <c r="AA102" s="2"/>
      <c r="AB102" s="2"/>
      <c r="AC102" s="2"/>
      <c r="AD102" s="2"/>
    </row>
    <row r="103" spans="14:30">
      <c r="N103" s="2"/>
      <c r="O103" s="2"/>
      <c r="P103" s="2"/>
      <c r="Q103" s="2"/>
      <c r="R103" s="2"/>
      <c r="S103" s="2"/>
      <c r="T103" s="2"/>
      <c r="U103" s="2"/>
      <c r="V103" s="2"/>
      <c r="W103" s="2"/>
      <c r="X103" s="2"/>
      <c r="Y103" s="2"/>
      <c r="Z103" s="2"/>
      <c r="AA103" s="2"/>
      <c r="AB103" s="2"/>
      <c r="AC103" s="2"/>
      <c r="AD103" s="2"/>
    </row>
    <row r="104" spans="14:30">
      <c r="N104" s="2"/>
      <c r="O104" s="2"/>
      <c r="P104" s="2"/>
      <c r="Q104" s="2"/>
      <c r="R104" s="2"/>
      <c r="S104" s="2"/>
      <c r="T104" s="2"/>
      <c r="U104" s="2"/>
      <c r="V104" s="2"/>
      <c r="W104" s="2"/>
      <c r="X104" s="2"/>
      <c r="Y104" s="2"/>
      <c r="Z104" s="2"/>
      <c r="AA104" s="2"/>
      <c r="AB104" s="2"/>
      <c r="AC104" s="2"/>
      <c r="AD104" s="2"/>
    </row>
    <row r="105" spans="14:30">
      <c r="N105" s="2"/>
      <c r="O105" s="2"/>
      <c r="P105" s="2"/>
      <c r="Q105" s="2"/>
      <c r="R105" s="2"/>
      <c r="S105" s="2"/>
      <c r="T105" s="2"/>
      <c r="U105" s="2"/>
      <c r="V105" s="2"/>
      <c r="W105" s="2"/>
      <c r="X105" s="2"/>
      <c r="Y105" s="2"/>
      <c r="Z105" s="2"/>
      <c r="AA105" s="2"/>
      <c r="AB105" s="2"/>
      <c r="AC105" s="2"/>
      <c r="AD105" s="2"/>
    </row>
    <row r="106" spans="14:30">
      <c r="N106" s="2"/>
      <c r="O106" s="2"/>
      <c r="P106" s="2"/>
      <c r="Q106" s="2"/>
      <c r="R106" s="2"/>
      <c r="S106" s="2"/>
      <c r="T106" s="2"/>
      <c r="U106" s="2"/>
      <c r="V106" s="2"/>
      <c r="W106" s="2"/>
      <c r="X106" s="2"/>
      <c r="Y106" s="2"/>
      <c r="Z106" s="2"/>
      <c r="AA106" s="2"/>
      <c r="AB106" s="2"/>
      <c r="AC106" s="2"/>
      <c r="AD106" s="2"/>
    </row>
    <row r="107" spans="14:30">
      <c r="N107" s="2"/>
      <c r="O107" s="2"/>
      <c r="P107" s="2"/>
      <c r="Q107" s="2"/>
      <c r="R107" s="2"/>
      <c r="S107" s="2"/>
      <c r="T107" s="2"/>
      <c r="U107" s="2"/>
      <c r="V107" s="2"/>
      <c r="W107" s="2"/>
      <c r="X107" s="2"/>
      <c r="Y107" s="2"/>
      <c r="Z107" s="2"/>
      <c r="AA107" s="2"/>
      <c r="AB107" s="2"/>
      <c r="AC107" s="2"/>
      <c r="AD107" s="2"/>
    </row>
    <row r="108" spans="14:30">
      <c r="N108" s="2"/>
      <c r="O108" s="2"/>
      <c r="P108" s="2"/>
      <c r="Q108" s="2"/>
      <c r="R108" s="2"/>
      <c r="S108" s="2"/>
      <c r="T108" s="2"/>
      <c r="U108" s="2"/>
      <c r="V108" s="2"/>
      <c r="W108" s="2"/>
      <c r="X108" s="2"/>
      <c r="Y108" s="2"/>
      <c r="Z108" s="2"/>
      <c r="AA108" s="2"/>
      <c r="AB108" s="2"/>
      <c r="AC108" s="2"/>
      <c r="AD108" s="2"/>
    </row>
    <row r="109" spans="14:30">
      <c r="N109" s="2"/>
      <c r="O109" s="2"/>
      <c r="P109" s="2"/>
      <c r="Q109" s="2"/>
      <c r="R109" s="2"/>
      <c r="S109" s="2"/>
      <c r="T109" s="2"/>
      <c r="U109" s="2"/>
      <c r="V109" s="2"/>
      <c r="W109" s="2"/>
      <c r="X109" s="2"/>
      <c r="Y109" s="2"/>
      <c r="Z109" s="2"/>
      <c r="AA109" s="2"/>
      <c r="AB109" s="2"/>
      <c r="AC109" s="2"/>
      <c r="AD109" s="2"/>
    </row>
    <row r="110" spans="14:30">
      <c r="N110" s="2"/>
      <c r="O110" s="2"/>
      <c r="P110" s="2"/>
      <c r="Q110" s="2"/>
      <c r="R110" s="2"/>
      <c r="S110" s="2"/>
      <c r="T110" s="2"/>
      <c r="U110" s="2"/>
      <c r="V110" s="2"/>
      <c r="W110" s="2"/>
      <c r="X110" s="2"/>
      <c r="Y110" s="2"/>
      <c r="Z110" s="2"/>
      <c r="AA110" s="2"/>
      <c r="AB110" s="2"/>
      <c r="AC110" s="2"/>
      <c r="AD110" s="2"/>
    </row>
    <row r="111" spans="14:30">
      <c r="N111" s="2"/>
      <c r="O111" s="2"/>
      <c r="P111" s="2"/>
      <c r="Q111" s="2"/>
      <c r="R111" s="2"/>
      <c r="S111" s="2"/>
      <c r="T111" s="2"/>
      <c r="U111" s="2"/>
      <c r="V111" s="2"/>
      <c r="W111" s="2"/>
      <c r="X111" s="2"/>
      <c r="Y111" s="2"/>
      <c r="Z111" s="2"/>
      <c r="AA111" s="2"/>
      <c r="AB111" s="2"/>
      <c r="AC111" s="2"/>
      <c r="AD111" s="2"/>
    </row>
    <row r="112" spans="14:30">
      <c r="N112" s="2"/>
      <c r="O112" s="2"/>
      <c r="P112" s="2"/>
      <c r="Q112" s="2"/>
      <c r="R112" s="2"/>
      <c r="S112" s="2"/>
      <c r="T112" s="2"/>
      <c r="U112" s="2"/>
      <c r="V112" s="2"/>
      <c r="W112" s="2"/>
      <c r="X112" s="2"/>
      <c r="Y112" s="2"/>
      <c r="Z112" s="2"/>
      <c r="AA112" s="2"/>
      <c r="AB112" s="2"/>
      <c r="AC112" s="2"/>
      <c r="AD112" s="2"/>
    </row>
    <row r="113" spans="14:30">
      <c r="N113" s="2"/>
      <c r="O113" s="2"/>
      <c r="P113" s="2"/>
      <c r="Q113" s="2"/>
      <c r="R113" s="2"/>
      <c r="S113" s="2"/>
      <c r="T113" s="2"/>
      <c r="U113" s="2"/>
      <c r="V113" s="2"/>
      <c r="W113" s="2"/>
      <c r="X113" s="2"/>
      <c r="Y113" s="2"/>
      <c r="Z113" s="2"/>
      <c r="AA113" s="2"/>
      <c r="AB113" s="2"/>
      <c r="AC113" s="2"/>
      <c r="AD113" s="2"/>
    </row>
    <row r="114" spans="14:30">
      <c r="N114" s="2"/>
      <c r="O114" s="2"/>
      <c r="P114" s="2"/>
      <c r="Q114" s="2"/>
      <c r="R114" s="2"/>
      <c r="S114" s="2"/>
      <c r="T114" s="2"/>
      <c r="U114" s="2"/>
      <c r="V114" s="2"/>
      <c r="W114" s="2"/>
      <c r="X114" s="2"/>
      <c r="Y114" s="2"/>
      <c r="Z114" s="2"/>
      <c r="AA114" s="2"/>
      <c r="AB114" s="2"/>
      <c r="AC114" s="2"/>
      <c r="AD114" s="2"/>
    </row>
    <row r="115" spans="14:30">
      <c r="N115" s="2"/>
      <c r="O115" s="2"/>
      <c r="P115" s="2"/>
      <c r="Q115" s="2"/>
      <c r="R115" s="2"/>
      <c r="S115" s="2"/>
      <c r="T115" s="2"/>
      <c r="U115" s="2"/>
      <c r="V115" s="2"/>
      <c r="W115" s="2"/>
      <c r="X115" s="2"/>
      <c r="Y115" s="2"/>
      <c r="Z115" s="2"/>
      <c r="AA115" s="2"/>
      <c r="AB115" s="2"/>
      <c r="AC115" s="2"/>
      <c r="AD115" s="2"/>
    </row>
    <row r="116" spans="14:30">
      <c r="N116" s="2"/>
      <c r="O116" s="2"/>
      <c r="P116" s="2"/>
      <c r="Q116" s="2"/>
      <c r="R116" s="2"/>
      <c r="S116" s="2"/>
      <c r="T116" s="2"/>
      <c r="U116" s="2"/>
      <c r="V116" s="2"/>
      <c r="W116" s="2"/>
      <c r="X116" s="2"/>
      <c r="Y116" s="2"/>
      <c r="Z116" s="2"/>
      <c r="AA116" s="2"/>
      <c r="AB116" s="2"/>
      <c r="AC116" s="2"/>
      <c r="AD116" s="2"/>
    </row>
    <row r="117" spans="14:30">
      <c r="N117" s="2"/>
      <c r="O117" s="2"/>
      <c r="P117" s="2"/>
      <c r="Q117" s="2"/>
      <c r="R117" s="2"/>
      <c r="S117" s="2"/>
      <c r="T117" s="2"/>
      <c r="U117" s="2"/>
      <c r="V117" s="2"/>
      <c r="W117" s="2"/>
      <c r="X117" s="2"/>
      <c r="Y117" s="2"/>
      <c r="Z117" s="2"/>
      <c r="AA117" s="2"/>
      <c r="AB117" s="2"/>
      <c r="AC117" s="2"/>
      <c r="AD117" s="2"/>
    </row>
    <row r="118" spans="14:30">
      <c r="N118" s="2"/>
      <c r="O118" s="2"/>
      <c r="P118" s="2"/>
      <c r="Q118" s="2"/>
      <c r="R118" s="2"/>
      <c r="S118" s="2"/>
      <c r="T118" s="2"/>
      <c r="U118" s="2"/>
      <c r="V118" s="2"/>
      <c r="W118" s="2"/>
      <c r="X118" s="2"/>
      <c r="Y118" s="2"/>
      <c r="Z118" s="2"/>
      <c r="AA118" s="2"/>
      <c r="AB118" s="2"/>
      <c r="AC118" s="2"/>
      <c r="AD118" s="2"/>
    </row>
    <row r="119" spans="14:30">
      <c r="N119" s="2"/>
      <c r="O119" s="2"/>
      <c r="P119" s="2"/>
      <c r="Q119" s="2"/>
      <c r="R119" s="2"/>
      <c r="S119" s="2"/>
      <c r="T119" s="2"/>
      <c r="U119" s="2"/>
      <c r="V119" s="2"/>
      <c r="W119" s="2"/>
      <c r="X119" s="2"/>
      <c r="Y119" s="2"/>
      <c r="Z119" s="2"/>
      <c r="AA119" s="2"/>
      <c r="AB119" s="2"/>
      <c r="AC119" s="2"/>
      <c r="AD119" s="2"/>
    </row>
    <row r="120" spans="14:30">
      <c r="N120" s="2"/>
      <c r="O120" s="2"/>
      <c r="P120" s="2"/>
      <c r="Q120" s="2"/>
      <c r="R120" s="2"/>
      <c r="S120" s="2"/>
      <c r="T120" s="2"/>
      <c r="U120" s="2"/>
      <c r="V120" s="2"/>
      <c r="W120" s="2"/>
      <c r="X120" s="2"/>
      <c r="Y120" s="2"/>
      <c r="Z120" s="2"/>
      <c r="AA120" s="2"/>
      <c r="AB120" s="2"/>
      <c r="AC120" s="2"/>
      <c r="AD120" s="2"/>
    </row>
    <row r="121" spans="14:30">
      <c r="N121" s="2"/>
      <c r="O121" s="2"/>
      <c r="P121" s="2"/>
      <c r="Q121" s="2"/>
      <c r="R121" s="2"/>
      <c r="S121" s="2"/>
      <c r="T121" s="2"/>
      <c r="U121" s="2"/>
      <c r="V121" s="2"/>
      <c r="W121" s="2"/>
      <c r="X121" s="2"/>
      <c r="Y121" s="2"/>
      <c r="Z121" s="2"/>
      <c r="AA121" s="2"/>
      <c r="AB121" s="2"/>
      <c r="AC121" s="2"/>
      <c r="AD121" s="2"/>
    </row>
    <row r="122" spans="14:30">
      <c r="N122" s="2"/>
      <c r="O122" s="2"/>
      <c r="P122" s="2"/>
      <c r="Q122" s="2"/>
      <c r="R122" s="2"/>
      <c r="S122" s="2"/>
      <c r="T122" s="2"/>
      <c r="U122" s="2"/>
      <c r="V122" s="2"/>
      <c r="W122" s="2"/>
      <c r="X122" s="2"/>
      <c r="Y122" s="2"/>
      <c r="Z122" s="2"/>
      <c r="AA122" s="2"/>
      <c r="AB122" s="2"/>
      <c r="AC122" s="2"/>
      <c r="AD122" s="2"/>
    </row>
  </sheetData>
  <mergeCells count="14">
    <mergeCell ref="R42:S42"/>
    <mergeCell ref="Q43:Q44"/>
    <mergeCell ref="C53:D53"/>
    <mergeCell ref="H53:I53"/>
    <mergeCell ref="O1:P1"/>
    <mergeCell ref="O2:P2"/>
    <mergeCell ref="G4:H4"/>
    <mergeCell ref="I2:L2"/>
    <mergeCell ref="J26:K26"/>
    <mergeCell ref="F9:H9"/>
    <mergeCell ref="M21:M23"/>
    <mergeCell ref="I18:L18"/>
    <mergeCell ref="M33:M35"/>
    <mergeCell ref="Q46:Q47"/>
  </mergeCells>
  <phoneticPr fontId="0" type="noConversion"/>
  <conditionalFormatting sqref="E14:E15">
    <cfRule type="expression" dxfId="16" priority="9" stopIfTrue="1">
      <formula>C14=0</formula>
    </cfRule>
  </conditionalFormatting>
  <conditionalFormatting sqref="Q28 T28 N28">
    <cfRule type="cellIs" dxfId="15" priority="10" stopIfTrue="1" operator="equal">
      <formula>"ok"</formula>
    </cfRule>
  </conditionalFormatting>
  <conditionalFormatting sqref="U20 R20">
    <cfRule type="cellIs" dxfId="14" priority="11" stopIfTrue="1" operator="equal">
      <formula>"INVALID"</formula>
    </cfRule>
  </conditionalFormatting>
  <conditionalFormatting sqref="H31 C38 B29:B38 C28 G29:H29 G30:G38 C29:F34 C36:F36 D37:F38 C35:E35">
    <cfRule type="expression" dxfId="13" priority="12" stopIfTrue="1">
      <formula>$I$24&gt;=$I$25</formula>
    </cfRule>
  </conditionalFormatting>
  <conditionalFormatting sqref="C14:D16">
    <cfRule type="cellIs" dxfId="12" priority="14" stopIfTrue="1" operator="equal">
      <formula>0</formula>
    </cfRule>
  </conditionalFormatting>
  <conditionalFormatting sqref="F10:G10">
    <cfRule type="cellIs" dxfId="11" priority="15" stopIfTrue="1" operator="equal">
      <formula>"."</formula>
    </cfRule>
  </conditionalFormatting>
  <conditionalFormatting sqref="F9:G9">
    <cfRule type="cellIs" dxfId="10" priority="16" stopIfTrue="1" operator="equal">
      <formula>"VALID DESIGN"</formula>
    </cfRule>
  </conditionalFormatting>
  <conditionalFormatting sqref="M15 M30 M13 M26 M20">
    <cfRule type="cellIs" dxfId="9" priority="18" stopIfTrue="1" operator="equal">
      <formula>"√"</formula>
    </cfRule>
  </conditionalFormatting>
  <conditionalFormatting sqref="F17:H18">
    <cfRule type="expression" dxfId="8" priority="19" stopIfTrue="1">
      <formula>$O$3=$O$1</formula>
    </cfRule>
  </conditionalFormatting>
  <conditionalFormatting sqref="I25">
    <cfRule type="expression" dxfId="7" priority="20" stopIfTrue="1">
      <formula>$K$25&gt;1</formula>
    </cfRule>
  </conditionalFormatting>
  <conditionalFormatting sqref="M14">
    <cfRule type="cellIs" dxfId="6" priority="8" operator="equal">
      <formula>"√"</formula>
    </cfRule>
  </conditionalFormatting>
  <conditionalFormatting sqref="D25">
    <cfRule type="expression" dxfId="5" priority="31" stopIfTrue="1">
      <formula>$M$25="√"</formula>
    </cfRule>
  </conditionalFormatting>
  <conditionalFormatting sqref="I18">
    <cfRule type="cellIs" dxfId="4" priority="5" stopIfTrue="1" operator="equal">
      <formula>"."</formula>
    </cfRule>
  </conditionalFormatting>
  <conditionalFormatting sqref="M21">
    <cfRule type="cellIs" dxfId="3" priority="4" stopIfTrue="1" operator="equal">
      <formula>"√"</formula>
    </cfRule>
  </conditionalFormatting>
  <conditionalFormatting sqref="M33:M35">
    <cfRule type="expression" dxfId="2" priority="3">
      <formula>$Q$36=0</formula>
    </cfRule>
  </conditionalFormatting>
  <conditionalFormatting sqref="M25">
    <cfRule type="cellIs" dxfId="1" priority="1" stopIfTrue="1" operator="equal">
      <formula>"√"</formula>
    </cfRule>
  </conditionalFormatting>
  <printOptions horizontalCentered="1"/>
  <pageMargins left="0.25" right="0.25" top="0.25" bottom="0.25" header="0" footer="0"/>
  <pageSetup paperSize="9" scale="94" orientation="portrait" r:id="rId1"/>
  <headerFooter alignWithMargins="0"/>
  <drawing r:id="rId2"/>
  <legacyDrawing r:id="rId3"/>
  <picture r:id="rId4"/>
  <controls>
    <mc:AlternateContent xmlns:mc="http://schemas.openxmlformats.org/markup-compatibility/2006">
      <mc:Choice Requires="x14">
        <control shapeId="5126" r:id="rId5" name="ComboBox1">
          <controlPr defaultSize="0" autoFill="0" autoLine="0" linkedCell="O3" listFillRange="O1:O2" r:id="rId6">
            <anchor moveWithCells="1">
              <from>
                <xdr:col>12</xdr:col>
                <xdr:colOff>142875</xdr:colOff>
                <xdr:row>9</xdr:row>
                <xdr:rowOff>28575</xdr:rowOff>
              </from>
              <to>
                <xdr:col>12</xdr:col>
                <xdr:colOff>2105025</xdr:colOff>
                <xdr:row>10</xdr:row>
                <xdr:rowOff>66675</xdr:rowOff>
              </to>
            </anchor>
          </controlPr>
        </control>
      </mc:Choice>
      <mc:Fallback>
        <control shapeId="5126" r:id="rId5" name="ComboBox1"/>
      </mc:Fallback>
    </mc:AlternateContent>
    <mc:AlternateContent xmlns:mc="http://schemas.openxmlformats.org/markup-compatibility/2006">
      <mc:Choice Requires="x14">
        <control shapeId="5149" r:id="rId7" name="Button 29">
          <controlPr defaultSize="0" print="0" autoFill="0" autoPict="0" macro="[0]!PrintSheet">
            <anchor moveWithCells="1">
              <from>
                <xdr:col>12</xdr:col>
                <xdr:colOff>381000</xdr:colOff>
                <xdr:row>15</xdr:row>
                <xdr:rowOff>209550</xdr:rowOff>
              </from>
              <to>
                <xdr:col>12</xdr:col>
                <xdr:colOff>1590675</xdr:colOff>
                <xdr:row>17</xdr:row>
                <xdr:rowOff>123825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pageSetUpPr fitToPage="1"/>
  </sheetPr>
  <dimension ref="A1:O34"/>
  <sheetViews>
    <sheetView showGridLines="0" zoomScale="75" zoomScaleNormal="75" workbookViewId="0"/>
  </sheetViews>
  <sheetFormatPr defaultRowHeight="15"/>
  <cols>
    <col min="15" max="15" width="7.21875" customWidth="1"/>
  </cols>
  <sheetData>
    <row r="1" spans="1:15" ht="35.1" customHeight="1">
      <c r="A1" s="385" t="s">
        <v>162</v>
      </c>
      <c r="B1" s="83"/>
      <c r="C1" s="83"/>
      <c r="D1" s="83"/>
      <c r="E1" s="83"/>
      <c r="F1" s="83"/>
      <c r="G1" s="83"/>
      <c r="H1" s="83"/>
      <c r="I1" s="83"/>
      <c r="J1" s="83"/>
      <c r="K1" s="83"/>
      <c r="L1" s="83"/>
      <c r="M1" s="83"/>
      <c r="N1" s="83"/>
      <c r="O1" s="83"/>
    </row>
    <row r="2" spans="1:15">
      <c r="A2" s="83"/>
      <c r="B2" s="83"/>
      <c r="C2" s="83"/>
      <c r="D2" s="83"/>
      <c r="E2" s="83"/>
      <c r="F2" s="83"/>
      <c r="G2" s="83"/>
      <c r="H2" s="83"/>
      <c r="I2" s="83"/>
      <c r="J2" s="83"/>
      <c r="K2" s="83"/>
      <c r="L2" s="83"/>
      <c r="M2" s="83"/>
      <c r="N2" s="83"/>
      <c r="O2" s="83"/>
    </row>
    <row r="3" spans="1:15">
      <c r="A3" s="83"/>
      <c r="B3" s="83"/>
      <c r="C3" s="83"/>
      <c r="D3" s="83"/>
      <c r="E3" s="83"/>
      <c r="F3" s="83"/>
      <c r="G3" s="83"/>
      <c r="H3" s="83"/>
      <c r="I3" s="83"/>
      <c r="J3" s="83"/>
      <c r="K3" s="83"/>
      <c r="L3" s="83"/>
      <c r="M3" s="83"/>
      <c r="N3" s="83"/>
      <c r="O3" s="83"/>
    </row>
    <row r="4" spans="1:15">
      <c r="A4" s="83"/>
      <c r="B4" s="83"/>
      <c r="C4" s="83"/>
      <c r="D4" s="83"/>
      <c r="E4" s="83"/>
      <c r="F4" s="83"/>
      <c r="G4" s="83"/>
      <c r="H4" s="83"/>
      <c r="I4" s="83"/>
      <c r="J4" s="83"/>
      <c r="K4" s="83"/>
      <c r="L4" s="83"/>
      <c r="M4" s="83"/>
      <c r="N4" s="83"/>
      <c r="O4" s="83"/>
    </row>
    <row r="5" spans="1:15">
      <c r="A5" s="83"/>
      <c r="B5" s="83"/>
      <c r="C5" s="83"/>
      <c r="D5" s="83"/>
      <c r="E5" s="83"/>
      <c r="F5" s="83"/>
      <c r="G5" s="83"/>
      <c r="H5" s="83"/>
      <c r="I5" s="83"/>
      <c r="J5" s="83"/>
      <c r="K5" s="83"/>
      <c r="L5" s="83"/>
      <c r="M5" s="83"/>
      <c r="N5" s="83"/>
      <c r="O5" s="83"/>
    </row>
    <row r="6" spans="1:15">
      <c r="A6" s="83"/>
      <c r="B6" s="83"/>
      <c r="C6" s="83"/>
      <c r="D6" s="83"/>
      <c r="E6" s="83"/>
      <c r="F6" s="83"/>
      <c r="G6" s="83"/>
      <c r="H6" s="83"/>
      <c r="I6" s="83"/>
      <c r="J6" s="83"/>
      <c r="K6" s="83"/>
      <c r="L6" s="83"/>
      <c r="M6" s="83"/>
      <c r="N6" s="83"/>
      <c r="O6" s="83"/>
    </row>
    <row r="7" spans="1:15">
      <c r="A7" s="83"/>
      <c r="B7" s="83"/>
      <c r="C7" s="83"/>
      <c r="D7" s="83"/>
      <c r="E7" s="83"/>
      <c r="F7" s="83"/>
      <c r="G7" s="83"/>
      <c r="H7" s="83"/>
      <c r="I7" s="83"/>
      <c r="J7" s="83"/>
      <c r="K7" s="83"/>
      <c r="L7" s="83"/>
      <c r="M7" s="83"/>
      <c r="N7" s="83"/>
      <c r="O7" s="83"/>
    </row>
    <row r="8" spans="1:15">
      <c r="A8" s="83"/>
      <c r="B8" s="83"/>
      <c r="C8" s="83"/>
      <c r="D8" s="83"/>
      <c r="E8" s="83"/>
      <c r="F8" s="83"/>
      <c r="G8" s="83"/>
      <c r="H8" s="83"/>
      <c r="I8" s="83"/>
      <c r="J8" s="83"/>
      <c r="K8" s="83"/>
      <c r="L8" s="83"/>
      <c r="M8" s="83"/>
      <c r="N8" s="83"/>
      <c r="O8" s="83"/>
    </row>
    <row r="9" spans="1:15">
      <c r="A9" s="83"/>
      <c r="B9" s="83"/>
      <c r="C9" s="83"/>
      <c r="D9" s="83"/>
      <c r="E9" s="83"/>
      <c r="F9" s="83"/>
      <c r="G9" s="83"/>
      <c r="H9" s="83"/>
      <c r="I9" s="83"/>
      <c r="J9" s="83"/>
      <c r="K9" s="83"/>
      <c r="L9" s="83"/>
      <c r="M9" s="83"/>
      <c r="N9" s="83"/>
      <c r="O9" s="83"/>
    </row>
    <row r="10" spans="1:15">
      <c r="A10" s="83"/>
      <c r="B10" s="83"/>
      <c r="C10" s="83"/>
      <c r="D10" s="83"/>
      <c r="E10" s="83"/>
      <c r="F10" s="83"/>
      <c r="G10" s="83"/>
      <c r="H10" s="83"/>
      <c r="I10" s="83"/>
      <c r="J10" s="83"/>
      <c r="K10" s="83"/>
      <c r="L10" s="83"/>
      <c r="M10" s="83"/>
      <c r="N10" s="83"/>
      <c r="O10" s="83"/>
    </row>
    <row r="11" spans="1:15">
      <c r="A11" s="83"/>
      <c r="B11" s="83"/>
      <c r="C11" s="83"/>
      <c r="D11" s="83"/>
      <c r="E11" s="83"/>
      <c r="F11" s="83"/>
      <c r="G11" s="83"/>
      <c r="H11" s="83"/>
      <c r="I11" s="83"/>
      <c r="J11" s="83"/>
      <c r="K11" s="83"/>
      <c r="L11" s="83"/>
      <c r="M11" s="83"/>
      <c r="N11" s="83"/>
      <c r="O11" s="83"/>
    </row>
    <row r="12" spans="1:15">
      <c r="A12" s="83"/>
      <c r="B12" s="83"/>
      <c r="C12" s="83"/>
      <c r="D12" s="83"/>
      <c r="E12" s="83"/>
      <c r="F12" s="83"/>
      <c r="G12" s="83"/>
      <c r="H12" s="83"/>
      <c r="I12" s="83"/>
      <c r="J12" s="83"/>
      <c r="K12" s="83"/>
      <c r="L12" s="83"/>
      <c r="M12" s="83"/>
      <c r="N12" s="83"/>
      <c r="O12" s="83"/>
    </row>
    <row r="13" spans="1:15">
      <c r="A13" s="83"/>
      <c r="B13" s="83"/>
      <c r="C13" s="83"/>
      <c r="D13" s="83"/>
      <c r="E13" s="83"/>
      <c r="F13" s="83"/>
      <c r="G13" s="83"/>
      <c r="H13" s="83"/>
      <c r="I13" s="83"/>
      <c r="J13" s="83"/>
      <c r="K13" s="83"/>
      <c r="L13" s="83"/>
      <c r="M13" s="83"/>
      <c r="N13" s="83"/>
      <c r="O13" s="83"/>
    </row>
    <row r="14" spans="1:15">
      <c r="A14" s="83"/>
      <c r="B14" s="83"/>
      <c r="C14" s="83"/>
      <c r="D14" s="83"/>
      <c r="E14" s="83"/>
      <c r="F14" s="83"/>
      <c r="G14" s="83"/>
      <c r="H14" s="83"/>
      <c r="I14" s="83"/>
      <c r="J14" s="83"/>
      <c r="K14" s="83"/>
      <c r="L14" s="83"/>
      <c r="M14" s="83"/>
      <c r="N14" s="83"/>
      <c r="O14" s="83"/>
    </row>
    <row r="15" spans="1:15">
      <c r="A15" s="83"/>
      <c r="B15" s="83"/>
      <c r="C15" s="83"/>
      <c r="D15" s="83"/>
      <c r="E15" s="83"/>
      <c r="F15" s="83"/>
      <c r="G15" s="83"/>
      <c r="H15" s="83"/>
      <c r="I15" s="83"/>
      <c r="J15" s="83"/>
      <c r="K15" s="83"/>
      <c r="L15" s="83"/>
      <c r="M15" s="83"/>
      <c r="N15" s="83"/>
      <c r="O15" s="83"/>
    </row>
    <row r="16" spans="1:15">
      <c r="A16" s="83"/>
      <c r="B16" s="83"/>
      <c r="C16" s="83"/>
      <c r="D16" s="83"/>
      <c r="E16" s="83"/>
      <c r="F16" s="83"/>
      <c r="G16" s="83"/>
      <c r="H16" s="83"/>
      <c r="I16" s="83"/>
      <c r="J16" s="83"/>
      <c r="K16" s="83"/>
      <c r="L16" s="83"/>
      <c r="M16" s="83"/>
      <c r="N16" s="83"/>
      <c r="O16" s="83"/>
    </row>
    <row r="17" spans="1:15">
      <c r="A17" s="83"/>
      <c r="B17" s="83"/>
      <c r="C17" s="83"/>
      <c r="D17" s="83"/>
      <c r="E17" s="83"/>
      <c r="F17" s="83"/>
      <c r="G17" s="83"/>
      <c r="H17" s="83"/>
      <c r="I17" s="83"/>
      <c r="J17" s="83"/>
      <c r="K17" s="83"/>
      <c r="L17" s="83"/>
      <c r="M17" s="83"/>
      <c r="N17" s="83"/>
      <c r="O17" s="83"/>
    </row>
    <row r="18" spans="1:15">
      <c r="A18" s="83"/>
      <c r="B18" s="83"/>
      <c r="C18" s="83"/>
      <c r="D18" s="83"/>
      <c r="E18" s="83"/>
      <c r="F18" s="83"/>
      <c r="G18" s="83"/>
      <c r="H18" s="83"/>
      <c r="I18" s="83"/>
      <c r="J18" s="83"/>
      <c r="K18" s="83"/>
      <c r="L18" s="83"/>
      <c r="M18" s="83"/>
      <c r="N18" s="83"/>
      <c r="O18" s="83"/>
    </row>
    <row r="19" spans="1:15">
      <c r="A19" s="83"/>
      <c r="B19" s="83"/>
      <c r="C19" s="83"/>
      <c r="D19" s="83"/>
      <c r="E19" s="83"/>
      <c r="F19" s="83"/>
      <c r="G19" s="83"/>
      <c r="H19" s="83"/>
      <c r="I19" s="83"/>
      <c r="J19" s="83"/>
      <c r="K19" s="83"/>
      <c r="L19" s="83"/>
      <c r="M19" s="83"/>
      <c r="N19" s="83"/>
      <c r="O19" s="83"/>
    </row>
    <row r="20" spans="1:15">
      <c r="A20" s="83"/>
      <c r="B20" s="83"/>
      <c r="C20" s="83"/>
      <c r="D20" s="83"/>
      <c r="E20" s="83"/>
      <c r="F20" s="83"/>
      <c r="G20" s="83"/>
      <c r="H20" s="83"/>
      <c r="I20" s="83"/>
      <c r="J20" s="83"/>
      <c r="K20" s="83"/>
      <c r="L20" s="83"/>
      <c r="M20" s="83"/>
      <c r="N20" s="83"/>
      <c r="O20" s="83"/>
    </row>
    <row r="21" spans="1:15">
      <c r="A21" s="83"/>
      <c r="B21" s="83"/>
      <c r="C21" s="83"/>
      <c r="D21" s="83"/>
      <c r="E21" s="83"/>
      <c r="F21" s="83"/>
      <c r="G21" s="83"/>
      <c r="H21" s="83"/>
      <c r="I21" s="83"/>
      <c r="J21" s="83"/>
      <c r="K21" s="83"/>
      <c r="L21" s="83"/>
      <c r="M21" s="83"/>
      <c r="N21" s="83"/>
      <c r="O21" s="83"/>
    </row>
    <row r="22" spans="1:15">
      <c r="A22" s="83"/>
      <c r="B22" s="83"/>
      <c r="C22" s="83"/>
      <c r="D22" s="83"/>
      <c r="E22" s="83"/>
      <c r="F22" s="83"/>
      <c r="G22" s="83"/>
      <c r="H22" s="83"/>
      <c r="I22" s="83"/>
      <c r="J22" s="83"/>
      <c r="K22" s="83"/>
      <c r="L22" s="83"/>
      <c r="M22" s="83"/>
      <c r="N22" s="83"/>
      <c r="O22" s="83"/>
    </row>
    <row r="23" spans="1:15">
      <c r="A23" s="83"/>
      <c r="B23" s="83"/>
      <c r="C23" s="83"/>
      <c r="D23" s="83"/>
      <c r="E23" s="83"/>
      <c r="F23" s="83"/>
      <c r="G23" s="83"/>
      <c r="H23" s="83"/>
      <c r="I23" s="83"/>
      <c r="J23" s="83"/>
      <c r="K23" s="83"/>
      <c r="L23" s="83"/>
      <c r="M23" s="83"/>
      <c r="N23" s="83"/>
      <c r="O23" s="83"/>
    </row>
    <row r="24" spans="1:15">
      <c r="A24" s="83"/>
      <c r="B24" s="83"/>
      <c r="C24" s="83"/>
      <c r="D24" s="83"/>
      <c r="E24" s="83"/>
      <c r="F24" s="83"/>
      <c r="G24" s="83"/>
      <c r="H24" s="83"/>
      <c r="I24" s="83"/>
      <c r="J24" s="83"/>
      <c r="K24" s="83"/>
      <c r="L24" s="83"/>
      <c r="M24" s="83"/>
      <c r="N24" s="83"/>
      <c r="O24" s="83"/>
    </row>
    <row r="25" spans="1:15">
      <c r="A25" s="83"/>
      <c r="B25" s="83"/>
      <c r="C25" s="83"/>
      <c r="D25" s="83"/>
      <c r="E25" s="83"/>
      <c r="F25" s="83"/>
      <c r="G25" s="83"/>
      <c r="H25" s="83"/>
      <c r="I25" s="83"/>
      <c r="J25" s="83"/>
      <c r="K25" s="83"/>
      <c r="L25" s="83"/>
      <c r="M25" s="83"/>
      <c r="N25" s="83"/>
      <c r="O25" s="83"/>
    </row>
    <row r="26" spans="1:15">
      <c r="A26" s="83"/>
      <c r="B26" s="83"/>
      <c r="C26" s="83"/>
      <c r="D26" s="83"/>
      <c r="E26" s="83"/>
      <c r="F26" s="83"/>
      <c r="G26" s="83"/>
      <c r="H26" s="83"/>
      <c r="I26" s="83"/>
      <c r="J26" s="83"/>
      <c r="K26" s="83"/>
      <c r="L26" s="83"/>
      <c r="M26" s="83"/>
      <c r="N26" s="83"/>
      <c r="O26" s="83"/>
    </row>
    <row r="27" spans="1:15">
      <c r="A27" s="83"/>
      <c r="B27" s="83"/>
      <c r="C27" s="83"/>
      <c r="D27" s="83"/>
      <c r="E27" s="83"/>
      <c r="F27" s="83"/>
      <c r="G27" s="83"/>
      <c r="H27" s="83"/>
      <c r="I27" s="83"/>
      <c r="J27" s="83"/>
      <c r="K27" s="83"/>
      <c r="L27" s="83"/>
      <c r="M27" s="83"/>
      <c r="N27" s="83"/>
      <c r="O27" s="83"/>
    </row>
    <row r="28" spans="1:15">
      <c r="A28" s="83"/>
      <c r="B28" s="83"/>
      <c r="C28" s="83"/>
      <c r="D28" s="83"/>
      <c r="E28" s="83"/>
      <c r="F28" s="83"/>
      <c r="G28" s="83"/>
      <c r="H28" s="83"/>
      <c r="I28" s="83"/>
      <c r="J28" s="83"/>
      <c r="K28" s="83"/>
      <c r="L28" s="83"/>
      <c r="M28" s="83"/>
      <c r="N28" s="83"/>
      <c r="O28" s="83"/>
    </row>
    <row r="29" spans="1:15" ht="18.75">
      <c r="A29" s="83"/>
      <c r="B29" s="83"/>
      <c r="C29" s="83"/>
      <c r="D29" s="747" t="s">
        <v>163</v>
      </c>
      <c r="E29" s="747"/>
      <c r="F29" s="83"/>
      <c r="G29" s="83"/>
      <c r="H29" s="83"/>
      <c r="I29" s="83"/>
      <c r="J29" s="83"/>
      <c r="K29" s="747" t="s">
        <v>164</v>
      </c>
      <c r="L29" s="747"/>
      <c r="M29" s="83"/>
      <c r="N29" s="83"/>
      <c r="O29" s="83"/>
    </row>
    <row r="30" spans="1:15">
      <c r="A30" s="83"/>
      <c r="B30" s="83"/>
      <c r="C30" s="83"/>
      <c r="D30" s="83"/>
      <c r="E30" s="83"/>
      <c r="F30" s="83"/>
      <c r="G30" s="83"/>
      <c r="H30" s="83"/>
      <c r="I30" s="83"/>
      <c r="J30" s="83"/>
      <c r="K30" s="83"/>
      <c r="L30" s="83"/>
      <c r="M30" s="83"/>
      <c r="N30" s="83"/>
      <c r="O30" s="83"/>
    </row>
    <row r="31" spans="1:15">
      <c r="A31" s="83"/>
      <c r="B31" s="83"/>
      <c r="C31" s="83"/>
      <c r="D31" s="83"/>
      <c r="E31" s="83"/>
      <c r="F31" s="83"/>
      <c r="G31" s="83"/>
      <c r="H31" s="83"/>
      <c r="I31" s="83"/>
      <c r="J31" s="83"/>
      <c r="K31" s="83"/>
      <c r="L31" s="83"/>
      <c r="M31" s="83"/>
      <c r="N31" s="83"/>
      <c r="O31" s="83"/>
    </row>
    <row r="32" spans="1:15">
      <c r="A32" s="83"/>
      <c r="B32" s="83"/>
      <c r="C32" s="83"/>
      <c r="D32" s="83"/>
      <c r="E32" s="83"/>
      <c r="F32" s="83"/>
      <c r="G32" s="83"/>
      <c r="H32" s="83"/>
      <c r="I32" s="83"/>
      <c r="J32" s="83"/>
      <c r="K32" s="83"/>
      <c r="L32" s="83"/>
      <c r="M32" s="83"/>
      <c r="N32" s="83"/>
      <c r="O32" s="83"/>
    </row>
    <row r="33" spans="1:15">
      <c r="A33" s="83"/>
      <c r="B33" s="83"/>
      <c r="C33" s="83"/>
      <c r="D33" s="83"/>
      <c r="E33" s="83"/>
      <c r="F33" s="83"/>
      <c r="G33" s="83"/>
      <c r="H33" s="83"/>
      <c r="I33" s="83"/>
      <c r="J33" s="83"/>
      <c r="K33" s="83"/>
      <c r="L33" s="83"/>
      <c r="M33" s="83"/>
      <c r="N33" s="83"/>
      <c r="O33" s="83"/>
    </row>
    <row r="34" spans="1:15">
      <c r="A34" s="83"/>
      <c r="B34" s="83"/>
      <c r="C34" s="83"/>
      <c r="D34" s="83"/>
      <c r="E34" s="83"/>
      <c r="F34" s="83"/>
      <c r="G34" s="83"/>
      <c r="H34" s="83"/>
      <c r="I34" s="83"/>
      <c r="J34" s="83"/>
      <c r="K34" s="83"/>
      <c r="L34" s="83"/>
      <c r="M34" s="83"/>
      <c r="N34" s="83"/>
      <c r="O34" s="83"/>
    </row>
  </sheetData>
  <mergeCells count="2">
    <mergeCell ref="D29:E29"/>
    <mergeCell ref="K29:L29"/>
  </mergeCells>
  <phoneticPr fontId="0" type="noConversion"/>
  <printOptions horizontalCentered="1" verticalCentered="1"/>
  <pageMargins left="0.25" right="0.25" top="0.25" bottom="0.25" header="0" footer="0"/>
  <pageSetup paperSize="9" scale="64" orientation="landscape" horizontalDpi="525" verticalDpi="525" r:id="rId1"/>
  <headerFooter alignWithMargins="0"/>
  <drawing r:id="rId2"/>
  <legacyDrawing r:id="rId3"/>
  <picture r:id="rId4"/>
  <oleObjects>
    <mc:AlternateContent xmlns:mc="http://schemas.openxmlformats.org/markup-compatibility/2006">
      <mc:Choice Requires="x14">
        <oleObject progId="Equation.3" shapeId="11268" r:id="rId5">
          <objectPr defaultSize="0" r:id="rId6">
            <anchor moveWithCells="1">
              <from>
                <xdr:col>2</xdr:col>
                <xdr:colOff>714375</xdr:colOff>
                <xdr:row>29</xdr:row>
                <xdr:rowOff>76200</xdr:rowOff>
              </from>
              <to>
                <xdr:col>4</xdr:col>
                <xdr:colOff>790575</xdr:colOff>
                <xdr:row>31</xdr:row>
                <xdr:rowOff>123825</xdr:rowOff>
              </to>
            </anchor>
          </objectPr>
        </oleObject>
      </mc:Choice>
      <mc:Fallback>
        <oleObject progId="Equation.3" shapeId="11268" r:id="rId5"/>
      </mc:Fallback>
    </mc:AlternateContent>
    <mc:AlternateContent xmlns:mc="http://schemas.openxmlformats.org/markup-compatibility/2006">
      <mc:Choice Requires="x14">
        <oleObject progId="Equation.3" shapeId="11269" r:id="rId7">
          <objectPr defaultSize="0" r:id="rId8">
            <anchor moveWithCells="1">
              <from>
                <xdr:col>8</xdr:col>
                <xdr:colOff>561975</xdr:colOff>
                <xdr:row>29</xdr:row>
                <xdr:rowOff>66675</xdr:rowOff>
              </from>
              <to>
                <xdr:col>13</xdr:col>
                <xdr:colOff>123825</xdr:colOff>
                <xdr:row>31</xdr:row>
                <xdr:rowOff>123825</xdr:rowOff>
              </to>
            </anchor>
          </objectPr>
        </oleObject>
      </mc:Choice>
      <mc:Fallback>
        <oleObject progId="Equation.3" shapeId="11269" r:id="rId7"/>
      </mc:Fallback>
    </mc:AlternateContent>
  </oleObjec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R192"/>
  <sheetViews>
    <sheetView showGridLines="0" zoomScale="75" zoomScaleNormal="75" workbookViewId="0"/>
  </sheetViews>
  <sheetFormatPr defaultRowHeight="15"/>
  <cols>
    <col min="1" max="1" width="3.77734375" customWidth="1"/>
    <col min="2" max="2" width="8.77734375" customWidth="1"/>
    <col min="8" max="8" width="6" bestFit="1" customWidth="1"/>
    <col min="14" max="14" width="22.88671875" style="2" customWidth="1"/>
    <col min="15" max="17" width="7.77734375" customWidth="1"/>
  </cols>
  <sheetData>
    <row r="1" spans="1:17" ht="23.25">
      <c r="A1" s="77"/>
      <c r="B1" s="436" t="s">
        <v>107</v>
      </c>
      <c r="C1" s="77"/>
      <c r="D1" s="77"/>
      <c r="E1" s="77"/>
      <c r="F1" s="77"/>
      <c r="G1" s="77"/>
      <c r="H1" s="77"/>
      <c r="I1" s="77"/>
      <c r="J1" s="77"/>
      <c r="K1" s="77"/>
      <c r="L1" s="77"/>
      <c r="M1" s="77"/>
      <c r="N1" s="77"/>
      <c r="O1" s="3">
        <f>SQRT(2)</f>
        <v>1.4142135623730951</v>
      </c>
      <c r="P1" s="2"/>
      <c r="Q1" s="2"/>
    </row>
    <row r="2" spans="1:17" ht="18.75">
      <c r="A2" s="77"/>
      <c r="B2" s="437" t="s">
        <v>103</v>
      </c>
      <c r="C2" s="77"/>
      <c r="D2" s="77"/>
      <c r="E2" s="77"/>
      <c r="F2" s="77"/>
      <c r="G2" s="77"/>
      <c r="H2" s="77"/>
      <c r="I2" s="77"/>
      <c r="J2" s="77"/>
      <c r="K2" s="77"/>
      <c r="L2" s="77"/>
      <c r="M2" s="77"/>
      <c r="N2" s="77"/>
      <c r="O2" s="3">
        <f>TAN(PI()/6)</f>
        <v>0.57735026918962573</v>
      </c>
      <c r="P2" s="2"/>
      <c r="Q2" s="2"/>
    </row>
    <row r="3" spans="1:17">
      <c r="A3" s="77"/>
      <c r="B3" s="78"/>
      <c r="C3" s="78" t="s">
        <v>124</v>
      </c>
      <c r="D3" s="235">
        <f>INTERNAL!O31</f>
        <v>470</v>
      </c>
      <c r="E3" s="78" t="s">
        <v>125</v>
      </c>
      <c r="F3" s="235">
        <f>INTERNAL!D34</f>
        <v>155</v>
      </c>
      <c r="G3" s="77"/>
      <c r="H3" s="77"/>
      <c r="I3" s="77"/>
      <c r="J3" s="77"/>
      <c r="K3" s="77"/>
      <c r="L3" s="77"/>
      <c r="M3" s="77"/>
      <c r="N3" s="77"/>
      <c r="O3" s="3">
        <f>COS(PI()/6)</f>
        <v>0.86602540378443871</v>
      </c>
      <c r="P3" s="2"/>
      <c r="Q3" s="2"/>
    </row>
    <row r="4" spans="1:17">
      <c r="A4" s="77"/>
      <c r="B4" s="388" t="s">
        <v>39</v>
      </c>
      <c r="C4" s="389">
        <v>0</v>
      </c>
      <c r="D4" s="389">
        <f>C4</f>
        <v>0</v>
      </c>
      <c r="E4" s="389">
        <f>INTERNAL!E12</f>
        <v>300</v>
      </c>
      <c r="F4" s="389">
        <f>E4</f>
        <v>300</v>
      </c>
      <c r="G4" s="390">
        <f>C4</f>
        <v>0</v>
      </c>
      <c r="H4" s="77"/>
      <c r="I4" s="77"/>
      <c r="J4" s="77"/>
      <c r="K4" s="77"/>
      <c r="L4" s="77"/>
      <c r="M4" s="77"/>
      <c r="N4" s="77"/>
      <c r="O4" s="3"/>
      <c r="P4" s="2"/>
      <c r="Q4" s="2"/>
    </row>
    <row r="5" spans="1:17">
      <c r="A5" s="77"/>
      <c r="B5" s="391"/>
      <c r="C5" s="392">
        <v>0</v>
      </c>
      <c r="D5" s="392">
        <f>INTERNAL!E13</f>
        <v>300</v>
      </c>
      <c r="E5" s="392">
        <f>D5</f>
        <v>300</v>
      </c>
      <c r="F5" s="392">
        <v>0</v>
      </c>
      <c r="G5" s="393">
        <f>C5</f>
        <v>0</v>
      </c>
      <c r="H5" s="428"/>
      <c r="I5" s="77"/>
      <c r="J5" s="77"/>
      <c r="K5" s="77"/>
      <c r="L5" s="77"/>
      <c r="M5" s="77"/>
      <c r="N5" s="77"/>
      <c r="O5" s="3"/>
      <c r="P5" s="2"/>
      <c r="Q5" s="2"/>
    </row>
    <row r="6" spans="1:17" ht="15.75">
      <c r="A6" s="77"/>
      <c r="B6" s="100" t="s">
        <v>126</v>
      </c>
      <c r="C6" s="394">
        <f>D6-D3</f>
        <v>-625</v>
      </c>
      <c r="D6" s="394">
        <f>-F3</f>
        <v>-155</v>
      </c>
      <c r="E6" s="394"/>
      <c r="F6" s="394">
        <f>F3+INTERNAL!E12</f>
        <v>455</v>
      </c>
      <c r="G6" s="395">
        <f>F6+D3</f>
        <v>925</v>
      </c>
      <c r="H6" s="394"/>
      <c r="I6" s="394">
        <f>IF(INTERNAL!$O$28=1,0,C6)</f>
        <v>-625</v>
      </c>
      <c r="J6" s="394">
        <f>IF(INTERNAL!$O$28=1,0,D6)</f>
        <v>-155</v>
      </c>
      <c r="K6" s="394"/>
      <c r="L6" s="394">
        <f>IF(INTERNAL!$O$28=1,0,F6)</f>
        <v>455</v>
      </c>
      <c r="M6" s="395">
        <f>IF(INTERNAL!$O$28=1,0,G6)</f>
        <v>925</v>
      </c>
      <c r="N6" s="427">
        <f>IF(ISNA(INTERNAL!O18),1,INTERNAL!O18-FLOOR(INTERNAL!O18,2))</f>
        <v>1</v>
      </c>
      <c r="O6" s="3"/>
      <c r="P6" s="2"/>
      <c r="Q6" s="2"/>
    </row>
    <row r="7" spans="1:17" ht="15.75">
      <c r="A7" s="77"/>
      <c r="B7" s="23"/>
      <c r="C7" s="396">
        <f>INTERNAL!E13/2</f>
        <v>150</v>
      </c>
      <c r="D7" s="396">
        <f>C7</f>
        <v>150</v>
      </c>
      <c r="E7" s="396"/>
      <c r="F7" s="396">
        <f>C7</f>
        <v>150</v>
      </c>
      <c r="G7" s="397">
        <f>C7</f>
        <v>150</v>
      </c>
      <c r="H7" s="396"/>
      <c r="I7" s="396">
        <f>IF(INTERNAL!$O$28=1,0,C7)</f>
        <v>150</v>
      </c>
      <c r="J7" s="396">
        <f>IF(INTERNAL!$O$28=1,0,D7)</f>
        <v>150</v>
      </c>
      <c r="K7" s="396"/>
      <c r="L7" s="396">
        <f>IF(INTERNAL!$O$28=1,0,F7)</f>
        <v>150</v>
      </c>
      <c r="M7" s="397">
        <f>IF(INTERNAL!$O$28=1,0,G7)</f>
        <v>150</v>
      </c>
      <c r="N7" s="427">
        <f>IF(ISNA(INTERNAL!O19),1,INTERNAL!O19-FLOOR(INTERNAL!O19,2))</f>
        <v>1</v>
      </c>
      <c r="O7" s="3"/>
      <c r="P7" s="2"/>
      <c r="Q7" s="2"/>
    </row>
    <row r="8" spans="1:17">
      <c r="A8" s="77"/>
      <c r="B8" s="23" t="s">
        <v>127</v>
      </c>
      <c r="C8" s="285">
        <f>INTERNAL!E12/2</f>
        <v>150</v>
      </c>
      <c r="D8" s="285">
        <f>C8</f>
        <v>150</v>
      </c>
      <c r="E8" s="285"/>
      <c r="F8" s="285">
        <f>D8</f>
        <v>150</v>
      </c>
      <c r="G8" s="398">
        <f>C8</f>
        <v>150</v>
      </c>
      <c r="H8" s="285"/>
      <c r="I8" s="285">
        <f>IF(INTERNAL!$O$28=1,0,C8)</f>
        <v>150</v>
      </c>
      <c r="J8" s="285">
        <f>IF(INTERNAL!$O$28=1,0,D8)</f>
        <v>150</v>
      </c>
      <c r="K8" s="285"/>
      <c r="L8" s="285">
        <f>IF(INTERNAL!$O$28=1,0,F8)</f>
        <v>150</v>
      </c>
      <c r="M8" s="398">
        <f>IF(INTERNAL!$O$28=1,0,G8)</f>
        <v>150</v>
      </c>
      <c r="N8" s="77"/>
      <c r="O8" s="3"/>
      <c r="P8" s="2"/>
      <c r="Q8" s="2"/>
    </row>
    <row r="9" spans="1:17">
      <c r="A9" s="77"/>
      <c r="B9" s="399"/>
      <c r="C9" s="400">
        <f>-F3</f>
        <v>-155</v>
      </c>
      <c r="D9" s="400">
        <f>C9-D3</f>
        <v>-625</v>
      </c>
      <c r="E9" s="400"/>
      <c r="F9" s="400">
        <f>INTERNAL!E13+F3</f>
        <v>455</v>
      </c>
      <c r="G9" s="401">
        <f>F9+D3</f>
        <v>925</v>
      </c>
      <c r="H9" s="400"/>
      <c r="I9" s="400">
        <f>IF(INTERNAL!$O$28=1,0,C9)</f>
        <v>-155</v>
      </c>
      <c r="J9" s="400">
        <f>IF(INTERNAL!$O$28=1,0,D9)</f>
        <v>-625</v>
      </c>
      <c r="K9" s="400"/>
      <c r="L9" s="400">
        <f>IF(INTERNAL!$O$28=1,0,F9)</f>
        <v>455</v>
      </c>
      <c r="M9" s="401">
        <f>IF(INTERNAL!$O$28=1,0,G9)</f>
        <v>925</v>
      </c>
      <c r="N9" s="77"/>
      <c r="O9" s="3"/>
      <c r="P9" s="2"/>
      <c r="Q9" s="2"/>
    </row>
    <row r="10" spans="1:17">
      <c r="A10" s="77"/>
      <c r="B10" s="23" t="s">
        <v>128</v>
      </c>
      <c r="C10" s="285">
        <f>IF(INTERNAL!$E$12&gt;INTERNAL!$E$13,INTERNAL!E12/2-INTERNAL!E13/2-F3,D6)</f>
        <v>-155</v>
      </c>
      <c r="D10" s="285">
        <f>C10-D3/O1</f>
        <v>-487.34018715767729</v>
      </c>
      <c r="E10" s="285"/>
      <c r="F10" s="285">
        <f>IF(INTERNAL!$E$12&gt;INTERNAL!$E$13,INTERNAL!E13/2+F3+INTERNAL!E12/2,F6)</f>
        <v>455</v>
      </c>
      <c r="G10" s="398">
        <f>F10+D3/$O$1</f>
        <v>787.34018715767729</v>
      </c>
      <c r="H10" s="285"/>
      <c r="I10" s="285">
        <f>IF(AND(INTERNAL!$O$32=8,INTERNAL!$O$28=0),C10,0)</f>
        <v>-155</v>
      </c>
      <c r="J10" s="285">
        <f>IF(AND(INTERNAL!$O$32=8,INTERNAL!$O$28=0),D10,0)</f>
        <v>-487.34018715767729</v>
      </c>
      <c r="K10" s="285"/>
      <c r="L10" s="285">
        <f>IF(AND(INTERNAL!$O$32=8,INTERNAL!$O$28=0),F10,0)</f>
        <v>455</v>
      </c>
      <c r="M10" s="398">
        <f>IF(AND(INTERNAL!$O$32=8,INTERNAL!$O$28=0),G10,0)</f>
        <v>787.34018715767729</v>
      </c>
      <c r="N10" s="77"/>
      <c r="O10" s="3"/>
      <c r="P10" s="2"/>
      <c r="Q10" s="2"/>
    </row>
    <row r="11" spans="1:17">
      <c r="A11" s="77"/>
      <c r="B11" s="23"/>
      <c r="C11" s="396">
        <f>IF(INTERNAL!$E$12&gt;INTERNAL!$E$13,F9,INTERNAL!E13/2+F3+INTERNAL!E12/2)</f>
        <v>455</v>
      </c>
      <c r="D11" s="396">
        <f>C11+D3/O1</f>
        <v>787.34018715767729</v>
      </c>
      <c r="E11" s="396"/>
      <c r="F11" s="396">
        <f>C11</f>
        <v>455</v>
      </c>
      <c r="G11" s="397">
        <f>D11</f>
        <v>787.34018715767729</v>
      </c>
      <c r="H11" s="396"/>
      <c r="I11" s="396">
        <f>IF(AND(INTERNAL!$O$32=8,INTERNAL!$O$28=0),C11,0)</f>
        <v>455</v>
      </c>
      <c r="J11" s="396">
        <f>IF(AND(INTERNAL!$O$32=8,INTERNAL!$O$28=0),D11,0)</f>
        <v>787.34018715767729</v>
      </c>
      <c r="K11" s="396"/>
      <c r="L11" s="396">
        <f>IF(AND(INTERNAL!$O$32=8,INTERNAL!$O$28=0),F11,0)</f>
        <v>455</v>
      </c>
      <c r="M11" s="397">
        <f>IF(AND(INTERNAL!$O$32=8,INTERNAL!$O$28=0),G11,0)</f>
        <v>787.34018715767729</v>
      </c>
      <c r="N11" s="77"/>
      <c r="O11" s="3"/>
      <c r="P11" s="2"/>
      <c r="Q11" s="2"/>
    </row>
    <row r="12" spans="1:17">
      <c r="A12" s="77"/>
      <c r="B12" s="23" t="s">
        <v>129</v>
      </c>
      <c r="C12" s="285">
        <f>C10</f>
        <v>-155</v>
      </c>
      <c r="D12" s="285">
        <f>D10</f>
        <v>-487.34018715767729</v>
      </c>
      <c r="E12" s="285"/>
      <c r="F12" s="285">
        <f>F10</f>
        <v>455</v>
      </c>
      <c r="G12" s="398">
        <f>G10</f>
        <v>787.34018715767729</v>
      </c>
      <c r="H12" s="285"/>
      <c r="I12" s="285">
        <f>IF(AND(INTERNAL!$O$32=8,INTERNAL!$O$28=0),C12,0)</f>
        <v>-155</v>
      </c>
      <c r="J12" s="285">
        <f>IF(AND(INTERNAL!$O$32=8,INTERNAL!$O$28=0),D12,0)</f>
        <v>-487.34018715767729</v>
      </c>
      <c r="K12" s="285"/>
      <c r="L12" s="285">
        <f>IF(AND(INTERNAL!$O$32=8,INTERNAL!$O$28=0),F12,0)</f>
        <v>455</v>
      </c>
      <c r="M12" s="398">
        <f>IF(AND(INTERNAL!$O$32=8,INTERNAL!$O$28=0),G12,0)</f>
        <v>787.34018715767729</v>
      </c>
      <c r="N12" s="77"/>
      <c r="O12" s="3"/>
      <c r="P12" s="2"/>
      <c r="Q12" s="2"/>
    </row>
    <row r="13" spans="1:17">
      <c r="A13" s="77"/>
      <c r="B13" s="399"/>
      <c r="C13" s="400">
        <f>INTERNAL!E13-C11</f>
        <v>-155</v>
      </c>
      <c r="D13" s="400">
        <f>INTERNAL!E13-D11</f>
        <v>-487.34018715767729</v>
      </c>
      <c r="E13" s="400"/>
      <c r="F13" s="400">
        <f>C13</f>
        <v>-155</v>
      </c>
      <c r="G13" s="401">
        <f>D13</f>
        <v>-487.34018715767729</v>
      </c>
      <c r="H13" s="400"/>
      <c r="I13" s="400">
        <f>IF(AND(INTERNAL!$O$32=8,INTERNAL!$O$28=0),C13,0)</f>
        <v>-155</v>
      </c>
      <c r="J13" s="400">
        <f>IF(AND(INTERNAL!$O$32=8,INTERNAL!$O$28=0),D13,0)</f>
        <v>-487.34018715767729</v>
      </c>
      <c r="K13" s="400"/>
      <c r="L13" s="400">
        <f>IF(AND(INTERNAL!$O$32=8,INTERNAL!$O$28=0),F13,0)</f>
        <v>-155</v>
      </c>
      <c r="M13" s="401">
        <f>IF(AND(INTERNAL!$O$32=8,INTERNAL!$O$28=0),G13,0)</f>
        <v>-487.34018715767729</v>
      </c>
      <c r="N13" s="77"/>
      <c r="O13" s="3"/>
      <c r="P13" s="2"/>
      <c r="Q13" s="2"/>
    </row>
    <row r="14" spans="1:17">
      <c r="A14" s="77"/>
      <c r="B14" s="23" t="s">
        <v>130</v>
      </c>
      <c r="C14" s="285">
        <f>INTERNAL!E12/2-(INTERNAL!E13/2+F3)*O2</f>
        <v>-26.091832102835838</v>
      </c>
      <c r="D14" s="285">
        <f>C14-D3*O2</f>
        <v>-297.44645862195995</v>
      </c>
      <c r="E14" s="285"/>
      <c r="F14" s="285">
        <f>INTERNAL!E12/2+(INTERNAL!E13/2+F3)*O2</f>
        <v>326.09183210283584</v>
      </c>
      <c r="G14" s="398">
        <f>F14+D3*O2</f>
        <v>597.44645862195989</v>
      </c>
      <c r="H14" s="285"/>
      <c r="I14" s="285">
        <f>IF(AND(INTERNAL!$O$32=12,INTERNAL!$O$28=0),C14,0)</f>
        <v>0</v>
      </c>
      <c r="J14" s="285">
        <f>IF(AND(INTERNAL!$O$32=12,INTERNAL!$O$28=0),D14,0)</f>
        <v>0</v>
      </c>
      <c r="K14" s="285"/>
      <c r="L14" s="285">
        <f>IF(AND(INTERNAL!$O$32=12,INTERNAL!$O$28=0),F14,0)</f>
        <v>0</v>
      </c>
      <c r="M14" s="398">
        <f>IF(AND(INTERNAL!$O$32=12,INTERNAL!$O$28=0),G14,0)</f>
        <v>0</v>
      </c>
      <c r="N14" s="77"/>
      <c r="O14" s="3"/>
      <c r="P14" s="2"/>
      <c r="Q14" s="2"/>
    </row>
    <row r="15" spans="1:17">
      <c r="A15" s="77"/>
      <c r="B15" s="23"/>
      <c r="C15" s="396">
        <f>INTERNAL!E13+F3</f>
        <v>455</v>
      </c>
      <c r="D15" s="396">
        <f>C15+D3*O3</f>
        <v>862.03193977868614</v>
      </c>
      <c r="E15" s="396"/>
      <c r="F15" s="396">
        <f>C15</f>
        <v>455</v>
      </c>
      <c r="G15" s="397">
        <f>D15</f>
        <v>862.03193977868614</v>
      </c>
      <c r="H15" s="396"/>
      <c r="I15" s="396">
        <f>IF(AND(INTERNAL!$O$32=12,INTERNAL!$O$28=0),C15,0)</f>
        <v>0</v>
      </c>
      <c r="J15" s="396">
        <f>IF(AND(INTERNAL!$O$32=12,INTERNAL!$O$28=0),D15,0)</f>
        <v>0</v>
      </c>
      <c r="K15" s="396"/>
      <c r="L15" s="396">
        <f>IF(AND(INTERNAL!$O$32=12,INTERNAL!$O$28=0),F15,0)</f>
        <v>0</v>
      </c>
      <c r="M15" s="397">
        <f>IF(AND(INTERNAL!$O$32=12,INTERNAL!$O$28=0),G15,0)</f>
        <v>0</v>
      </c>
      <c r="N15" s="77"/>
      <c r="O15" s="3"/>
      <c r="P15" s="2"/>
      <c r="Q15" s="2"/>
    </row>
    <row r="16" spans="1:17">
      <c r="A16" s="77"/>
      <c r="B16" s="23" t="s">
        <v>132</v>
      </c>
      <c r="C16" s="285">
        <f>-F3</f>
        <v>-155</v>
      </c>
      <c r="D16" s="285">
        <f>C16-D3*O3</f>
        <v>-562.03193977868614</v>
      </c>
      <c r="E16" s="285"/>
      <c r="F16" s="285">
        <f>F3+INTERNAL!E12</f>
        <v>455</v>
      </c>
      <c r="G16" s="398">
        <f>F16+D3*O3</f>
        <v>862.03193977868614</v>
      </c>
      <c r="H16" s="285"/>
      <c r="I16" s="285">
        <f>IF(AND(INTERNAL!$O$32=12,INTERNAL!$O$28=0),C16,0)</f>
        <v>0</v>
      </c>
      <c r="J16" s="285">
        <f>IF(AND(INTERNAL!$O$32=12,INTERNAL!$O$28=0),D16,0)</f>
        <v>0</v>
      </c>
      <c r="K16" s="285"/>
      <c r="L16" s="285">
        <f>IF(AND(INTERNAL!$O$32=12,INTERNAL!$O$28=0),F16,0)</f>
        <v>0</v>
      </c>
      <c r="M16" s="398">
        <f>IF(AND(INTERNAL!$O$32=12,INTERNAL!$O$28=0),G16,0)</f>
        <v>0</v>
      </c>
      <c r="N16" s="77"/>
      <c r="O16" s="2"/>
      <c r="P16" s="2"/>
      <c r="Q16" s="2"/>
    </row>
    <row r="17" spans="1:17">
      <c r="A17" s="77"/>
      <c r="B17" s="23"/>
      <c r="C17" s="396">
        <f>INTERNAL!E13/2+(INTERNAL!E12/2+F3)*O2</f>
        <v>326.09183210283584</v>
      </c>
      <c r="D17" s="396">
        <f>C17+D3*O2</f>
        <v>597.44645862195989</v>
      </c>
      <c r="E17" s="396"/>
      <c r="F17" s="396">
        <f>C17</f>
        <v>326.09183210283584</v>
      </c>
      <c r="G17" s="397">
        <f>D17</f>
        <v>597.44645862195989</v>
      </c>
      <c r="H17" s="396"/>
      <c r="I17" s="396">
        <f>IF(AND(INTERNAL!$O$32=12,INTERNAL!$O$28=0),C17,0)</f>
        <v>0</v>
      </c>
      <c r="J17" s="396">
        <f>IF(AND(INTERNAL!$O$32=12,INTERNAL!$O$28=0),D17,0)</f>
        <v>0</v>
      </c>
      <c r="K17" s="396"/>
      <c r="L17" s="396">
        <f>IF(AND(INTERNAL!$O$32=12,INTERNAL!$O$28=0),F17,0)</f>
        <v>0</v>
      </c>
      <c r="M17" s="397">
        <f>IF(AND(INTERNAL!$O$32=12,INTERNAL!$O$28=0),G17,0)</f>
        <v>0</v>
      </c>
      <c r="N17" s="77"/>
      <c r="O17" s="2"/>
      <c r="P17" s="2"/>
      <c r="Q17" s="2"/>
    </row>
    <row r="18" spans="1:17">
      <c r="A18" s="77"/>
      <c r="B18" s="23" t="s">
        <v>131</v>
      </c>
      <c r="C18" s="285">
        <f>C14</f>
        <v>-26.091832102835838</v>
      </c>
      <c r="D18" s="285">
        <f>D14</f>
        <v>-297.44645862195995</v>
      </c>
      <c r="E18" s="285"/>
      <c r="F18" s="285">
        <f t="shared" ref="F18:G20" si="0">F14</f>
        <v>326.09183210283584</v>
      </c>
      <c r="G18" s="398">
        <f t="shared" si="0"/>
        <v>597.44645862195989</v>
      </c>
      <c r="H18" s="285"/>
      <c r="I18" s="285">
        <f>IF(AND(INTERNAL!$O$32=12,INTERNAL!$O$28=0),C18,0)</f>
        <v>0</v>
      </c>
      <c r="J18" s="285">
        <f>IF(AND(INTERNAL!$O$32=12,INTERNAL!$O$28=0),D18,0)</f>
        <v>0</v>
      </c>
      <c r="K18" s="285"/>
      <c r="L18" s="285">
        <f>IF(AND(INTERNAL!$O$32=12,INTERNAL!$O$28=0),F18,0)</f>
        <v>0</v>
      </c>
      <c r="M18" s="398">
        <f>IF(AND(INTERNAL!$O$32=12,INTERNAL!$O$28=0),G18,0)</f>
        <v>0</v>
      </c>
      <c r="N18" s="77"/>
      <c r="O18" s="2"/>
      <c r="P18" s="2"/>
      <c r="Q18" s="2"/>
    </row>
    <row r="19" spans="1:17">
      <c r="A19" s="77"/>
      <c r="B19" s="23"/>
      <c r="C19" s="396">
        <f>-F3</f>
        <v>-155</v>
      </c>
      <c r="D19" s="396">
        <f>C19-D3*O3</f>
        <v>-562.03193977868614</v>
      </c>
      <c r="E19" s="396"/>
      <c r="F19" s="396">
        <f>C19</f>
        <v>-155</v>
      </c>
      <c r="G19" s="397">
        <f>D19</f>
        <v>-562.03193977868614</v>
      </c>
      <c r="H19" s="396"/>
      <c r="I19" s="396">
        <f>IF(AND(INTERNAL!$O$32=12,INTERNAL!$O$28=0),C19,0)</f>
        <v>0</v>
      </c>
      <c r="J19" s="396">
        <f>IF(AND(INTERNAL!$O$32=12,INTERNAL!$O$28=0),D19,0)</f>
        <v>0</v>
      </c>
      <c r="K19" s="396"/>
      <c r="L19" s="396">
        <f>IF(AND(INTERNAL!$O$32=12,INTERNAL!$O$28=0),F19,0)</f>
        <v>0</v>
      </c>
      <c r="M19" s="397">
        <f>IF(AND(INTERNAL!$O$32=12,INTERNAL!$O$28=0),G19,0)</f>
        <v>0</v>
      </c>
      <c r="N19" s="77"/>
      <c r="O19" s="2"/>
      <c r="P19" s="2"/>
      <c r="Q19" s="2"/>
    </row>
    <row r="20" spans="1:17">
      <c r="A20" s="77"/>
      <c r="B20" s="23" t="s">
        <v>133</v>
      </c>
      <c r="C20" s="285">
        <f>C16</f>
        <v>-155</v>
      </c>
      <c r="D20" s="285">
        <f>D16</f>
        <v>-562.03193977868614</v>
      </c>
      <c r="E20" s="285"/>
      <c r="F20" s="285">
        <f t="shared" si="0"/>
        <v>455</v>
      </c>
      <c r="G20" s="398">
        <f t="shared" si="0"/>
        <v>862.03193977868614</v>
      </c>
      <c r="H20" s="285"/>
      <c r="I20" s="285">
        <f>IF(AND(INTERNAL!$O$32=12,INTERNAL!$O$28=0),C20,0)</f>
        <v>0</v>
      </c>
      <c r="J20" s="285">
        <f>IF(AND(INTERNAL!$O$32=12,INTERNAL!$O$28=0),D20,0)</f>
        <v>0</v>
      </c>
      <c r="K20" s="285"/>
      <c r="L20" s="285">
        <f>IF(AND(INTERNAL!$O$32=12,INTERNAL!$O$28=0),F20,0)</f>
        <v>0</v>
      </c>
      <c r="M20" s="398">
        <f>IF(AND(INTERNAL!$O$32=12,INTERNAL!$O$28=0),G20,0)</f>
        <v>0</v>
      </c>
      <c r="N20" s="77"/>
      <c r="O20" s="2"/>
      <c r="P20" s="2"/>
      <c r="Q20" s="2"/>
    </row>
    <row r="21" spans="1:17">
      <c r="A21" s="77"/>
      <c r="B21" s="399"/>
      <c r="C21" s="400">
        <f>INTERNAL!E13-C17</f>
        <v>-26.091832102835838</v>
      </c>
      <c r="D21" s="400">
        <f>INTERNAL!E13-D17</f>
        <v>-297.44645862195989</v>
      </c>
      <c r="E21" s="400"/>
      <c r="F21" s="400">
        <f>C21</f>
        <v>-26.091832102835838</v>
      </c>
      <c r="G21" s="401">
        <f>D21</f>
        <v>-297.44645862195989</v>
      </c>
      <c r="H21" s="400"/>
      <c r="I21" s="400">
        <f>IF(AND(INTERNAL!$O$32=12,INTERNAL!$O$28=0),C21,0)</f>
        <v>0</v>
      </c>
      <c r="J21" s="400">
        <f>IF(AND(INTERNAL!$O$32=12,INTERNAL!$O$28=0),D21,0)</f>
        <v>0</v>
      </c>
      <c r="K21" s="400"/>
      <c r="L21" s="400">
        <f>IF(AND(INTERNAL!$O$32=12,INTERNAL!$O$28=0),F21,0)</f>
        <v>0</v>
      </c>
      <c r="M21" s="401">
        <f>IF(AND(INTERNAL!$O$32=12,INTERNAL!$O$28=0),G21,0)</f>
        <v>0</v>
      </c>
      <c r="N21" s="77"/>
      <c r="O21" s="2"/>
      <c r="P21" s="2"/>
      <c r="Q21" s="2"/>
    </row>
    <row r="22" spans="1:17" ht="15.75">
      <c r="A22" s="77"/>
      <c r="B22" s="23" t="s">
        <v>136</v>
      </c>
      <c r="C22" s="285">
        <f>C6</f>
        <v>-625</v>
      </c>
      <c r="D22" s="285">
        <f>D6</f>
        <v>-155</v>
      </c>
      <c r="E22" s="285"/>
      <c r="F22" s="285">
        <f>F6</f>
        <v>455</v>
      </c>
      <c r="G22" s="398">
        <f>G6</f>
        <v>925</v>
      </c>
      <c r="H22" s="285"/>
      <c r="I22" s="285">
        <f>IF(INTERNAL!$O$28=1,C22,0)</f>
        <v>0</v>
      </c>
      <c r="J22" s="285">
        <f>IF(INTERNAL!$O$28=1,D22,0)</f>
        <v>0</v>
      </c>
      <c r="K22" s="285"/>
      <c r="L22" s="285">
        <f>IF(INTERNAL!$O$28=1,F22,0)</f>
        <v>0</v>
      </c>
      <c r="M22" s="398">
        <f>IF(INTERNAL!$O$28=1,G22,0)</f>
        <v>0</v>
      </c>
      <c r="N22" s="77"/>
      <c r="O22" s="73">
        <f>INTERNAL!O21</f>
        <v>215</v>
      </c>
      <c r="P22" s="2"/>
      <c r="Q22" s="2"/>
    </row>
    <row r="23" spans="1:17" ht="15.75">
      <c r="A23" s="77"/>
      <c r="B23" s="23"/>
      <c r="C23" s="402">
        <f>-INTERNAL!$O$9</f>
        <v>-65</v>
      </c>
      <c r="D23" s="396">
        <f>C23</f>
        <v>-65</v>
      </c>
      <c r="E23" s="396"/>
      <c r="F23" s="396">
        <f>C23</f>
        <v>-65</v>
      </c>
      <c r="G23" s="397">
        <f>C23</f>
        <v>-65</v>
      </c>
      <c r="H23" s="396"/>
      <c r="I23" s="396">
        <f>IF(INTERNAL!$O$28=1,C23,0)</f>
        <v>0</v>
      </c>
      <c r="J23" s="396">
        <f>IF(INTERNAL!$O$28=1,D23,0)</f>
        <v>0</v>
      </c>
      <c r="K23" s="396"/>
      <c r="L23" s="396">
        <f>IF(INTERNAL!$O$28=1,F23,0)</f>
        <v>0</v>
      </c>
      <c r="M23" s="397">
        <f>IF(INTERNAL!$O$28=1,G23,0)</f>
        <v>0</v>
      </c>
      <c r="N23" s="77"/>
      <c r="O23" s="73">
        <f>INTERNAL!O18</f>
        <v>3</v>
      </c>
      <c r="P23" s="2"/>
      <c r="Q23" s="2"/>
    </row>
    <row r="24" spans="1:17" ht="15.75">
      <c r="A24" s="77"/>
      <c r="B24" s="23" t="s">
        <v>135</v>
      </c>
      <c r="C24" s="396">
        <f>INTERNAL!E13-C23</f>
        <v>365</v>
      </c>
      <c r="D24" s="396">
        <f>C24</f>
        <v>365</v>
      </c>
      <c r="E24" s="396"/>
      <c r="F24" s="396">
        <f>C24</f>
        <v>365</v>
      </c>
      <c r="G24" s="397">
        <f>C24</f>
        <v>365</v>
      </c>
      <c r="H24" s="396"/>
      <c r="I24" s="396">
        <f>IF(INTERNAL!$O$28=1,C24,0)</f>
        <v>0</v>
      </c>
      <c r="J24" s="396">
        <f>IF(INTERNAL!$O$28=1,D24,0)</f>
        <v>0</v>
      </c>
      <c r="K24" s="396"/>
      <c r="L24" s="396">
        <f>IF(INTERNAL!$O$28=1,F24,0)</f>
        <v>0</v>
      </c>
      <c r="M24" s="397">
        <f>IF(INTERNAL!$O$28=1,G24,0)</f>
        <v>0</v>
      </c>
      <c r="N24" s="427"/>
      <c r="O24" s="2"/>
      <c r="P24" s="2"/>
      <c r="Q24" s="2"/>
    </row>
    <row r="25" spans="1:17" ht="15.75">
      <c r="A25" s="77"/>
      <c r="B25" s="23" t="s">
        <v>173</v>
      </c>
      <c r="C25" s="285">
        <f>C23+O22</f>
        <v>150</v>
      </c>
      <c r="D25" s="396">
        <f>C25</f>
        <v>150</v>
      </c>
      <c r="E25" s="396"/>
      <c r="F25" s="396">
        <f>C25</f>
        <v>150</v>
      </c>
      <c r="G25" s="397">
        <f>C25</f>
        <v>150</v>
      </c>
      <c r="H25" s="285"/>
      <c r="I25" s="396">
        <f>IF(INTERNAL!$O$28=1,C25,0)</f>
        <v>0</v>
      </c>
      <c r="J25" s="396">
        <f>IF(INTERNAL!$O$28=1,D25,0)</f>
        <v>0</v>
      </c>
      <c r="K25" s="396"/>
      <c r="L25" s="396">
        <f>IF(INTERNAL!$O$28=1,F25,0)</f>
        <v>0</v>
      </c>
      <c r="M25" s="397">
        <f>IF(INTERNAL!$O$28=1,G25,0)</f>
        <v>0</v>
      </c>
      <c r="N25" s="427"/>
      <c r="O25" s="386" t="s">
        <v>145</v>
      </c>
      <c r="P25" s="2"/>
      <c r="Q25" s="2"/>
    </row>
    <row r="26" spans="1:17" ht="15.75">
      <c r="A26" s="77"/>
      <c r="B26" s="23" t="s">
        <v>137</v>
      </c>
      <c r="C26" s="285">
        <f>IF($O$23&gt;3,C22,0)</f>
        <v>0</v>
      </c>
      <c r="D26" s="285">
        <f>IF($O$23&gt;3,D22,0)</f>
        <v>0</v>
      </c>
      <c r="E26" s="285"/>
      <c r="F26" s="285">
        <f>IF($O$23&gt;3,F22,0)</f>
        <v>0</v>
      </c>
      <c r="G26" s="398">
        <f>IF($O$23&gt;3,G22,0)</f>
        <v>0</v>
      </c>
      <c r="H26" s="285"/>
      <c r="I26" s="285">
        <f>IF(INTERNAL!$O$28=1,C26,0)</f>
        <v>0</v>
      </c>
      <c r="J26" s="285">
        <f>IF(INTERNAL!$O$28=1,D26,0)</f>
        <v>0</v>
      </c>
      <c r="K26" s="285"/>
      <c r="L26" s="285">
        <f>IF(INTERNAL!$O$28=1,F26,0)</f>
        <v>0</v>
      </c>
      <c r="M26" s="398">
        <f>IF(INTERNAL!$O$28=1,G26,0)</f>
        <v>0</v>
      </c>
      <c r="N26" s="427"/>
      <c r="O26" s="9">
        <f>C6</f>
        <v>-625</v>
      </c>
      <c r="P26" s="9">
        <f>G6</f>
        <v>925</v>
      </c>
      <c r="Q26" s="3">
        <f>ABS(O26-P26)</f>
        <v>1550</v>
      </c>
    </row>
    <row r="27" spans="1:17" ht="15.75">
      <c r="A27" s="77"/>
      <c r="B27" s="23"/>
      <c r="C27" s="396">
        <f>IF($O$23&gt;3,C25+O22,0)</f>
        <v>0</v>
      </c>
      <c r="D27" s="396">
        <f>C27</f>
        <v>0</v>
      </c>
      <c r="E27" s="396"/>
      <c r="F27" s="396">
        <f>C27</f>
        <v>0</v>
      </c>
      <c r="G27" s="397">
        <f>C27</f>
        <v>0</v>
      </c>
      <c r="H27" s="396"/>
      <c r="I27" s="396">
        <f>IF(INTERNAL!$O$28=1,C27,0)</f>
        <v>0</v>
      </c>
      <c r="J27" s="396">
        <f>IF(INTERNAL!$O$28=1,D27,0)</f>
        <v>0</v>
      </c>
      <c r="K27" s="396"/>
      <c r="L27" s="396">
        <f>IF(INTERNAL!$O$28=1,F27,0)</f>
        <v>0</v>
      </c>
      <c r="M27" s="397">
        <f>IF(INTERNAL!$O$28=1,G27,0)</f>
        <v>0</v>
      </c>
      <c r="N27" s="427"/>
      <c r="O27" s="9">
        <f>D9</f>
        <v>-625</v>
      </c>
      <c r="P27" s="9">
        <f>G9</f>
        <v>925</v>
      </c>
      <c r="Q27" s="3">
        <f>ABS(O27-P27)</f>
        <v>1550</v>
      </c>
    </row>
    <row r="28" spans="1:17" ht="15.75">
      <c r="A28" s="77"/>
      <c r="B28" s="23" t="s">
        <v>138</v>
      </c>
      <c r="C28" s="285">
        <f>IF($O$23&gt;4,C22,0)</f>
        <v>0</v>
      </c>
      <c r="D28" s="285">
        <f>IF($O$23&gt;4,D22,0)</f>
        <v>0</v>
      </c>
      <c r="E28" s="285"/>
      <c r="F28" s="285">
        <f>IF($O$23&gt;4,F22,0)</f>
        <v>0</v>
      </c>
      <c r="G28" s="398">
        <f>IF($O$23&gt;4,G22,0)</f>
        <v>0</v>
      </c>
      <c r="H28" s="285"/>
      <c r="I28" s="285">
        <f>IF(INTERNAL!$O$28=1,C28,0)</f>
        <v>0</v>
      </c>
      <c r="J28" s="285">
        <f>IF(INTERNAL!$O$28=1,D28,0)</f>
        <v>0</v>
      </c>
      <c r="K28" s="285"/>
      <c r="L28" s="285">
        <f>IF(INTERNAL!$O$28=1,F28,0)</f>
        <v>0</v>
      </c>
      <c r="M28" s="398">
        <f>IF(INTERNAL!$O$28=1,G28,0)</f>
        <v>0</v>
      </c>
      <c r="N28" s="427"/>
      <c r="O28" s="7">
        <f>O26+MAX(Q26:Q27)</f>
        <v>925</v>
      </c>
      <c r="P28" s="2"/>
      <c r="Q28" s="2"/>
    </row>
    <row r="29" spans="1:17" ht="15.75">
      <c r="A29" s="77"/>
      <c r="B29" s="23"/>
      <c r="C29" s="396">
        <f>IF($O$23&gt;4,C27+O22,0)</f>
        <v>0</v>
      </c>
      <c r="D29" s="396">
        <f>C29</f>
        <v>0</v>
      </c>
      <c r="E29" s="396"/>
      <c r="F29" s="396">
        <f>C29</f>
        <v>0</v>
      </c>
      <c r="G29" s="397">
        <f>C29</f>
        <v>0</v>
      </c>
      <c r="H29" s="396"/>
      <c r="I29" s="396">
        <f>IF(INTERNAL!$O$28=1,C29,0)</f>
        <v>0</v>
      </c>
      <c r="J29" s="396">
        <f>IF(INTERNAL!$O$28=1,D29,0)</f>
        <v>0</v>
      </c>
      <c r="K29" s="396"/>
      <c r="L29" s="396">
        <f>IF(INTERNAL!$O$28=1,F29,0)</f>
        <v>0</v>
      </c>
      <c r="M29" s="397">
        <f>IF(INTERNAL!$O$28=1,G29,0)</f>
        <v>0</v>
      </c>
      <c r="N29" s="427"/>
      <c r="O29" s="7">
        <f>O27+MAX(Q26:Q27)</f>
        <v>925</v>
      </c>
      <c r="P29" s="2"/>
      <c r="Q29" s="2"/>
    </row>
    <row r="30" spans="1:17" ht="15.75">
      <c r="A30" s="77"/>
      <c r="B30" s="23" t="s">
        <v>139</v>
      </c>
      <c r="C30" s="285">
        <f>IF($O$23&gt;5,C22,0)</f>
        <v>0</v>
      </c>
      <c r="D30" s="285">
        <f>IF($O$23&gt;5,D22,0)</f>
        <v>0</v>
      </c>
      <c r="E30" s="285"/>
      <c r="F30" s="285">
        <f>IF($O$23&gt;5,F22,0)</f>
        <v>0</v>
      </c>
      <c r="G30" s="398">
        <f>IF($O$23&gt;5,G22,0)</f>
        <v>0</v>
      </c>
      <c r="H30" s="285"/>
      <c r="I30" s="285">
        <f>IF(INTERNAL!$O$28=1,C30,0)</f>
        <v>0</v>
      </c>
      <c r="J30" s="285">
        <f>IF(INTERNAL!$O$28=1,D30,0)</f>
        <v>0</v>
      </c>
      <c r="K30" s="285"/>
      <c r="L30" s="285">
        <f>IF(INTERNAL!$O$28=1,F30,0)</f>
        <v>0</v>
      </c>
      <c r="M30" s="398">
        <f>IF(INTERNAL!$O$28=1,G30,0)</f>
        <v>0</v>
      </c>
      <c r="N30" s="427"/>
      <c r="O30" s="2"/>
      <c r="P30" s="2"/>
      <c r="Q30" s="2"/>
    </row>
    <row r="31" spans="1:17" ht="15.75">
      <c r="A31" s="77"/>
      <c r="B31" s="399"/>
      <c r="C31" s="400">
        <f>IF($O$23&gt;5,C29+O22,0)</f>
        <v>0</v>
      </c>
      <c r="D31" s="400">
        <f>C31</f>
        <v>0</v>
      </c>
      <c r="E31" s="400"/>
      <c r="F31" s="400">
        <f>C31</f>
        <v>0</v>
      </c>
      <c r="G31" s="401">
        <f>C31</f>
        <v>0</v>
      </c>
      <c r="H31" s="400"/>
      <c r="I31" s="400">
        <f>IF(INTERNAL!$O$28=1,C31,0)</f>
        <v>0</v>
      </c>
      <c r="J31" s="400">
        <f>IF(INTERNAL!$O$28=1,D31,0)</f>
        <v>0</v>
      </c>
      <c r="K31" s="400"/>
      <c r="L31" s="400">
        <f>IF(INTERNAL!$O$28=1,F31,0)</f>
        <v>0</v>
      </c>
      <c r="M31" s="401">
        <f>IF(INTERNAL!$O$28=1,G31,0)</f>
        <v>0</v>
      </c>
      <c r="N31" s="427"/>
      <c r="O31" s="2"/>
      <c r="P31" s="2"/>
      <c r="Q31" s="2"/>
    </row>
    <row r="32" spans="1:17" ht="15.75">
      <c r="A32" s="77"/>
      <c r="B32" s="23" t="s">
        <v>144</v>
      </c>
      <c r="C32" s="285">
        <f>C23</f>
        <v>-65</v>
      </c>
      <c r="D32" s="285">
        <f>C32</f>
        <v>-65</v>
      </c>
      <c r="E32" s="285"/>
      <c r="F32" s="285">
        <f>D32</f>
        <v>-65</v>
      </c>
      <c r="G32" s="398">
        <f>F32</f>
        <v>-65</v>
      </c>
      <c r="H32" s="285"/>
      <c r="I32" s="285">
        <f>IF(INTERNAL!$O$28=1,C32,0)</f>
        <v>0</v>
      </c>
      <c r="J32" s="285">
        <f>IF(INTERNAL!$O$28=1,D32,0)</f>
        <v>0</v>
      </c>
      <c r="K32" s="285"/>
      <c r="L32" s="285">
        <f>IF(INTERNAL!$O$28=1,F32,0)</f>
        <v>0</v>
      </c>
      <c r="M32" s="398">
        <f>IF(INTERNAL!$O$28=1,G32,0)</f>
        <v>0</v>
      </c>
      <c r="N32" s="77"/>
      <c r="O32" s="73">
        <f>INTERNAL!O22</f>
        <v>215</v>
      </c>
      <c r="P32" s="2"/>
      <c r="Q32" s="2"/>
    </row>
    <row r="33" spans="1:17" ht="15.75">
      <c r="A33" s="77"/>
      <c r="B33" s="23" t="s">
        <v>140</v>
      </c>
      <c r="C33" s="285">
        <f>INTERNAL!E12-C23</f>
        <v>365</v>
      </c>
      <c r="D33" s="285">
        <f>C33</f>
        <v>365</v>
      </c>
      <c r="E33" s="285"/>
      <c r="F33" s="285">
        <f>D33</f>
        <v>365</v>
      </c>
      <c r="G33" s="398">
        <f>F33</f>
        <v>365</v>
      </c>
      <c r="H33" s="285"/>
      <c r="I33" s="285">
        <f>IF(INTERNAL!$O$28=1,C33,0)</f>
        <v>0</v>
      </c>
      <c r="J33" s="285">
        <f>IF(INTERNAL!$O$28=1,D33,0)</f>
        <v>0</v>
      </c>
      <c r="K33" s="285"/>
      <c r="L33" s="285">
        <f>IF(INTERNAL!$O$28=1,F33,0)</f>
        <v>0</v>
      </c>
      <c r="M33" s="398">
        <f>IF(INTERNAL!$O$28=1,G33,0)</f>
        <v>0</v>
      </c>
      <c r="N33" s="77"/>
      <c r="O33" s="73">
        <f>INTERNAL!O19</f>
        <v>3</v>
      </c>
      <c r="P33" s="2"/>
      <c r="Q33" s="2"/>
    </row>
    <row r="34" spans="1:17" ht="15.75">
      <c r="A34" s="77"/>
      <c r="B34" s="23" t="s">
        <v>174</v>
      </c>
      <c r="C34" s="285">
        <f>C32+O32</f>
        <v>150</v>
      </c>
      <c r="D34" s="285">
        <f>C34</f>
        <v>150</v>
      </c>
      <c r="E34" s="285"/>
      <c r="F34" s="285">
        <f>D34</f>
        <v>150</v>
      </c>
      <c r="G34" s="398">
        <f>F34</f>
        <v>150</v>
      </c>
      <c r="H34" s="285"/>
      <c r="I34" s="285">
        <f>IF(INTERNAL!$O$28=1,C34,0)</f>
        <v>0</v>
      </c>
      <c r="J34" s="285">
        <f>IF(INTERNAL!$O$28=1,D34,0)</f>
        <v>0</v>
      </c>
      <c r="K34" s="285"/>
      <c r="L34" s="285">
        <f>IF(INTERNAL!$O$28=1,F34,0)</f>
        <v>0</v>
      </c>
      <c r="M34" s="398">
        <f>IF(INTERNAL!$O$28=1,G34,0)</f>
        <v>0</v>
      </c>
      <c r="N34" s="77"/>
      <c r="O34" s="73"/>
      <c r="P34" s="2"/>
      <c r="Q34" s="2"/>
    </row>
    <row r="35" spans="1:17">
      <c r="A35" s="77"/>
      <c r="B35" s="23"/>
      <c r="C35" s="396">
        <f>C9</f>
        <v>-155</v>
      </c>
      <c r="D35" s="396">
        <f>D9</f>
        <v>-625</v>
      </c>
      <c r="E35" s="396"/>
      <c r="F35" s="396">
        <f>F9</f>
        <v>455</v>
      </c>
      <c r="G35" s="397">
        <f>G9</f>
        <v>925</v>
      </c>
      <c r="H35" s="396"/>
      <c r="I35" s="396">
        <f>IF(INTERNAL!$O$28=1,C35,0)</f>
        <v>0</v>
      </c>
      <c r="J35" s="396">
        <f>IF(INTERNAL!$O$28=1,D35,0)</f>
        <v>0</v>
      </c>
      <c r="K35" s="396"/>
      <c r="L35" s="396">
        <f>IF(INTERNAL!$O$28=1,F35,0)</f>
        <v>0</v>
      </c>
      <c r="M35" s="397">
        <f>IF(INTERNAL!$O$28=1,G35,0)</f>
        <v>0</v>
      </c>
      <c r="N35" s="77"/>
      <c r="O35" s="2"/>
      <c r="P35" s="2"/>
      <c r="Q35" s="2"/>
    </row>
    <row r="36" spans="1:17">
      <c r="A36" s="77"/>
      <c r="B36" s="23" t="s">
        <v>141</v>
      </c>
      <c r="C36" s="285">
        <f>IF($O$33&gt;3,C34+O32,0)</f>
        <v>0</v>
      </c>
      <c r="D36" s="285">
        <f>C36</f>
        <v>0</v>
      </c>
      <c r="E36" s="285"/>
      <c r="F36" s="285">
        <f>D36</f>
        <v>0</v>
      </c>
      <c r="G36" s="398">
        <f>F36</f>
        <v>0</v>
      </c>
      <c r="H36" s="285"/>
      <c r="I36" s="285">
        <f>IF(INTERNAL!$O$28=1,C36,0)</f>
        <v>0</v>
      </c>
      <c r="J36" s="285">
        <f>IF(INTERNAL!$O$28=1,D36,0)</f>
        <v>0</v>
      </c>
      <c r="K36" s="285"/>
      <c r="L36" s="285">
        <f>IF(INTERNAL!$O$28=1,F36,0)</f>
        <v>0</v>
      </c>
      <c r="M36" s="398">
        <f>IF(INTERNAL!$O$28=1,G36,0)</f>
        <v>0</v>
      </c>
      <c r="N36" s="77"/>
      <c r="O36" s="2"/>
      <c r="P36" s="2"/>
      <c r="Q36" s="2"/>
    </row>
    <row r="37" spans="1:17">
      <c r="A37" s="77"/>
      <c r="B37" s="23"/>
      <c r="C37" s="396">
        <f>IF($O$33&gt;3,C35,0)</f>
        <v>0</v>
      </c>
      <c r="D37" s="396">
        <f>IF($O$33&gt;3,D35,0)</f>
        <v>0</v>
      </c>
      <c r="E37" s="396"/>
      <c r="F37" s="396">
        <f>IF($O$33&gt;3,F35,0)</f>
        <v>0</v>
      </c>
      <c r="G37" s="397">
        <f>IF($O$33&gt;3,G35,0)</f>
        <v>0</v>
      </c>
      <c r="H37" s="396"/>
      <c r="I37" s="396">
        <f>IF(INTERNAL!$O$28=1,C37,0)</f>
        <v>0</v>
      </c>
      <c r="J37" s="396">
        <f>IF(INTERNAL!$O$28=1,D37,0)</f>
        <v>0</v>
      </c>
      <c r="K37" s="396"/>
      <c r="L37" s="396">
        <f>IF(INTERNAL!$O$28=1,F37,0)</f>
        <v>0</v>
      </c>
      <c r="M37" s="397">
        <f>IF(INTERNAL!$O$28=1,G37,0)</f>
        <v>0</v>
      </c>
      <c r="N37" s="77"/>
      <c r="O37" s="2"/>
      <c r="P37" s="2"/>
      <c r="Q37" s="2"/>
    </row>
    <row r="38" spans="1:17">
      <c r="A38" s="77"/>
      <c r="B38" s="23" t="s">
        <v>142</v>
      </c>
      <c r="C38" s="285">
        <f>IF($O$33&gt;4,C36+O32,0)</f>
        <v>0</v>
      </c>
      <c r="D38" s="285">
        <f>C38</f>
        <v>0</v>
      </c>
      <c r="E38" s="285"/>
      <c r="F38" s="285">
        <f>D38</f>
        <v>0</v>
      </c>
      <c r="G38" s="398">
        <f>F38</f>
        <v>0</v>
      </c>
      <c r="H38" s="285"/>
      <c r="I38" s="285">
        <f>IF(INTERNAL!$O$28=1,C38,0)</f>
        <v>0</v>
      </c>
      <c r="J38" s="285">
        <f>IF(INTERNAL!$O$28=1,D38,0)</f>
        <v>0</v>
      </c>
      <c r="K38" s="285"/>
      <c r="L38" s="285">
        <f>IF(INTERNAL!$O$28=1,F38,0)</f>
        <v>0</v>
      </c>
      <c r="M38" s="398">
        <f>IF(INTERNAL!$O$28=1,G38,0)</f>
        <v>0</v>
      </c>
      <c r="N38" s="77"/>
      <c r="O38" s="2"/>
      <c r="P38" s="2"/>
      <c r="Q38" s="2"/>
    </row>
    <row r="39" spans="1:17">
      <c r="A39" s="77"/>
      <c r="B39" s="23"/>
      <c r="C39" s="396">
        <f>IF($O$33&gt;4,C35,0)</f>
        <v>0</v>
      </c>
      <c r="D39" s="396">
        <f>IF($O$33&gt;4,D35,0)</f>
        <v>0</v>
      </c>
      <c r="E39" s="396"/>
      <c r="F39" s="396">
        <f>IF($O$33&gt;4,F35,0)</f>
        <v>0</v>
      </c>
      <c r="G39" s="397">
        <f>IF($O$33&gt;4,G35,0)</f>
        <v>0</v>
      </c>
      <c r="H39" s="396"/>
      <c r="I39" s="396">
        <f>IF(INTERNAL!$O$28=1,C39,0)</f>
        <v>0</v>
      </c>
      <c r="J39" s="396">
        <f>IF(INTERNAL!$O$28=1,D39,0)</f>
        <v>0</v>
      </c>
      <c r="K39" s="396"/>
      <c r="L39" s="396">
        <f>IF(INTERNAL!$O$28=1,F39,0)</f>
        <v>0</v>
      </c>
      <c r="M39" s="397">
        <f>IF(INTERNAL!$O$28=1,G39,0)</f>
        <v>0</v>
      </c>
      <c r="N39" s="77"/>
      <c r="O39" s="2"/>
      <c r="P39" s="2"/>
      <c r="Q39" s="2"/>
    </row>
    <row r="40" spans="1:17">
      <c r="A40" s="77"/>
      <c r="B40" s="23" t="s">
        <v>143</v>
      </c>
      <c r="C40" s="285">
        <f>IF($O$33&gt;5,C38+O32,0)</f>
        <v>0</v>
      </c>
      <c r="D40" s="285">
        <f>C40</f>
        <v>0</v>
      </c>
      <c r="E40" s="285"/>
      <c r="F40" s="285">
        <f>D40</f>
        <v>0</v>
      </c>
      <c r="G40" s="398">
        <f>F40</f>
        <v>0</v>
      </c>
      <c r="H40" s="285"/>
      <c r="I40" s="285">
        <f>IF(INTERNAL!$O$28=1,C40,0)</f>
        <v>0</v>
      </c>
      <c r="J40" s="285">
        <f>IF(INTERNAL!$O$28=1,D40,0)</f>
        <v>0</v>
      </c>
      <c r="K40" s="285"/>
      <c r="L40" s="285">
        <f>IF(INTERNAL!$O$28=1,F40,0)</f>
        <v>0</v>
      </c>
      <c r="M40" s="398">
        <f>IF(INTERNAL!$O$28=1,G40,0)</f>
        <v>0</v>
      </c>
      <c r="N40" s="77"/>
      <c r="O40" s="2"/>
      <c r="P40" s="2"/>
      <c r="Q40" s="2"/>
    </row>
    <row r="41" spans="1:17">
      <c r="A41" s="77"/>
      <c r="B41" s="23"/>
      <c r="C41" s="400">
        <f>IF($O$33&gt;5,C35,0)</f>
        <v>0</v>
      </c>
      <c r="D41" s="400">
        <f>IF($O$33&gt;5,D35,0)</f>
        <v>0</v>
      </c>
      <c r="E41" s="400"/>
      <c r="F41" s="400">
        <f>IF($O$33&gt;5,F35,0)</f>
        <v>0</v>
      </c>
      <c r="G41" s="401">
        <f>IF($O$33&gt;5,G35,0)</f>
        <v>0</v>
      </c>
      <c r="H41" s="400"/>
      <c r="I41" s="400">
        <f>IF(INTERNAL!$O$28=1,C41,0)</f>
        <v>0</v>
      </c>
      <c r="J41" s="400">
        <f>IF(INTERNAL!$O$28=1,D41,0)</f>
        <v>0</v>
      </c>
      <c r="K41" s="400"/>
      <c r="L41" s="400">
        <f>IF(INTERNAL!$O$28=1,F41,0)</f>
        <v>0</v>
      </c>
      <c r="M41" s="401">
        <f>IF(INTERNAL!$O$28=1,G41,0)</f>
        <v>0</v>
      </c>
      <c r="N41" s="77"/>
      <c r="O41" s="2"/>
      <c r="P41" s="2"/>
      <c r="Q41" s="2"/>
    </row>
    <row r="42" spans="1:17">
      <c r="A42" s="77"/>
      <c r="B42" s="100" t="s">
        <v>55</v>
      </c>
      <c r="C42" s="403">
        <f>INTERNAL!E12/2+INTERNAL!H12-IF(INTERNAL!H12&lt;-INTERNAL!H14/2,INTERNAL!H14,0)</f>
        <v>150</v>
      </c>
      <c r="D42" s="403">
        <f>C42</f>
        <v>150</v>
      </c>
      <c r="E42" s="403">
        <f>D42+INTERNAL!H14</f>
        <v>150</v>
      </c>
      <c r="F42" s="403">
        <f>E42</f>
        <v>150</v>
      </c>
      <c r="G42" s="404">
        <f>C42</f>
        <v>150</v>
      </c>
      <c r="H42" s="405"/>
      <c r="I42" s="112">
        <f>C42</f>
        <v>150</v>
      </c>
      <c r="J42" s="112">
        <f>E42</f>
        <v>150</v>
      </c>
      <c r="K42" s="406"/>
      <c r="L42" s="112">
        <f>D42</f>
        <v>150</v>
      </c>
      <c r="M42" s="407">
        <f>F42</f>
        <v>150</v>
      </c>
      <c r="N42" s="77"/>
      <c r="O42" s="2"/>
      <c r="P42" s="2"/>
      <c r="Q42" s="2"/>
    </row>
    <row r="43" spans="1:17">
      <c r="A43" s="77"/>
      <c r="B43" s="25"/>
      <c r="C43" s="408">
        <f>INTERNAL!E13/2+INTERNAL!H13</f>
        <v>150</v>
      </c>
      <c r="D43" s="408">
        <f>C43+INTERNAL!E14</f>
        <v>150</v>
      </c>
      <c r="E43" s="408">
        <f>D43</f>
        <v>150</v>
      </c>
      <c r="F43" s="408">
        <f>C43</f>
        <v>150</v>
      </c>
      <c r="G43" s="409">
        <f>C43</f>
        <v>150</v>
      </c>
      <c r="H43" s="410"/>
      <c r="I43" s="22">
        <f>C43</f>
        <v>150</v>
      </c>
      <c r="J43" s="22">
        <f>E43</f>
        <v>150</v>
      </c>
      <c r="K43" s="411"/>
      <c r="L43" s="22">
        <f>D43</f>
        <v>150</v>
      </c>
      <c r="M43" s="412">
        <f>F43</f>
        <v>150</v>
      </c>
      <c r="N43" s="77"/>
      <c r="O43" s="2"/>
      <c r="P43" s="2"/>
      <c r="Q43" s="2"/>
    </row>
    <row r="44" spans="1:17">
      <c r="A44" s="77"/>
      <c r="B44" s="100" t="s">
        <v>226</v>
      </c>
      <c r="C44" s="413">
        <f>(C8+C18)/2</f>
        <v>61.954083948582081</v>
      </c>
      <c r="D44" s="413">
        <f>(D8+D18)/2</f>
        <v>-73.723229310979974</v>
      </c>
      <c r="E44" s="394"/>
      <c r="F44" s="413">
        <f>(F8+F14)/2</f>
        <v>238.04591605141792</v>
      </c>
      <c r="G44" s="414">
        <f>(G8+G14)/2</f>
        <v>373.72322931097995</v>
      </c>
      <c r="H44" s="394"/>
      <c r="I44" s="413">
        <f>(C8+F18)/2</f>
        <v>238.04591605141792</v>
      </c>
      <c r="J44" s="413">
        <f>(D8+G18)/2</f>
        <v>373.72322931097995</v>
      </c>
      <c r="K44" s="394"/>
      <c r="L44" s="415">
        <f>(F8+C14)/2</f>
        <v>61.954083948582081</v>
      </c>
      <c r="M44" s="416">
        <f>(G8+D14)/2</f>
        <v>-73.723229310979974</v>
      </c>
      <c r="N44" s="429">
        <f>IF(OR(INTERNAL!O28+INTERNAL!R28&gt;0,INTERNAL!U35=0),0,1-INTERNAL!U35/INTERNAL!U29)</f>
        <v>0</v>
      </c>
      <c r="O44" s="2"/>
      <c r="P44" s="2"/>
      <c r="Q44" s="2"/>
    </row>
    <row r="45" spans="1:17">
      <c r="A45" s="77"/>
      <c r="B45" s="417"/>
      <c r="C45" s="415">
        <f>(C9+C19)/2</f>
        <v>-155</v>
      </c>
      <c r="D45" s="415">
        <f>(D9+D19)/2</f>
        <v>-593.51596988934307</v>
      </c>
      <c r="E45" s="415"/>
      <c r="F45" s="415">
        <f>(F9+F15)/2</f>
        <v>455</v>
      </c>
      <c r="G45" s="416">
        <f>(G9+G15)/2</f>
        <v>893.51596988934307</v>
      </c>
      <c r="H45" s="415"/>
      <c r="I45" s="415">
        <f>(C9+F19)/2</f>
        <v>-155</v>
      </c>
      <c r="J45" s="415">
        <f>(D9+G19)/2</f>
        <v>-593.51596988934307</v>
      </c>
      <c r="K45" s="415"/>
      <c r="L45" s="415">
        <f>(F9+C15)/2</f>
        <v>455</v>
      </c>
      <c r="M45" s="416">
        <f>(G9+D15)/2</f>
        <v>893.51596988934307</v>
      </c>
      <c r="N45" s="77"/>
      <c r="O45" s="2"/>
      <c r="P45" s="2"/>
      <c r="Q45" s="2"/>
    </row>
    <row r="46" spans="1:17">
      <c r="A46" s="77"/>
      <c r="B46" s="23"/>
      <c r="C46" s="285">
        <f>IF($N$44=0,0,C44-$N$44*(C44-D44))</f>
        <v>0</v>
      </c>
      <c r="D46" s="285">
        <f>IF(C46=0,0,D44)</f>
        <v>0</v>
      </c>
      <c r="E46" s="285"/>
      <c r="F46" s="285">
        <f>IF($N$44=0,0,F44-$N$44*(F44-G44))</f>
        <v>0</v>
      </c>
      <c r="G46" s="398">
        <f>IF(F46=0,0,G44)</f>
        <v>0</v>
      </c>
      <c r="H46" s="285"/>
      <c r="I46" s="285">
        <f>IF($N$44=0,0,I44-$N$44*(I44-J44))</f>
        <v>0</v>
      </c>
      <c r="J46" s="285">
        <f>IF(I46=0,0,J44)</f>
        <v>0</v>
      </c>
      <c r="K46" s="285"/>
      <c r="L46" s="285">
        <f>IF($N$44=0,0,L44-$N$44*(L44-M44))</f>
        <v>0</v>
      </c>
      <c r="M46" s="398">
        <f>IF(L46=0,0,M44)</f>
        <v>0</v>
      </c>
      <c r="N46" s="77"/>
      <c r="O46" s="2"/>
      <c r="P46" s="2"/>
      <c r="Q46" s="2"/>
    </row>
    <row r="47" spans="1:17">
      <c r="A47" s="77"/>
      <c r="B47" s="399"/>
      <c r="C47" s="400">
        <f>IF($N$44=0,0,C45-$N$44*(C45-D45))</f>
        <v>0</v>
      </c>
      <c r="D47" s="400">
        <f>IF(C47=0,0,D45)</f>
        <v>0</v>
      </c>
      <c r="E47" s="400"/>
      <c r="F47" s="400">
        <f>IF($N$44=0,0,F45-$N$44*(F45-G45))</f>
        <v>0</v>
      </c>
      <c r="G47" s="401">
        <f>IF(F47=0,0,G45)</f>
        <v>0</v>
      </c>
      <c r="H47" s="400"/>
      <c r="I47" s="400">
        <f>IF($N$44=0,0,I45-$N$44*(I45-J45))</f>
        <v>0</v>
      </c>
      <c r="J47" s="400">
        <f>IF(I47=0,0,J45)</f>
        <v>0</v>
      </c>
      <c r="K47" s="400"/>
      <c r="L47" s="400">
        <f>IF($N$44=0,0,L45-$N$44*(L45-M45))</f>
        <v>0</v>
      </c>
      <c r="M47" s="401">
        <f>IF(L47=0,0,M45)</f>
        <v>0</v>
      </c>
      <c r="N47" s="77"/>
      <c r="O47" s="2"/>
      <c r="P47" s="2"/>
      <c r="Q47" s="2"/>
    </row>
    <row r="48" spans="1:17">
      <c r="A48" s="77"/>
      <c r="B48" s="23"/>
      <c r="C48" s="415">
        <f>(C6+D16)/2</f>
        <v>-593.51596988934307</v>
      </c>
      <c r="D48" s="415">
        <f>(D6+C16)/2</f>
        <v>-155</v>
      </c>
      <c r="E48" s="415"/>
      <c r="F48" s="415">
        <f>(F6+F16)/2</f>
        <v>455</v>
      </c>
      <c r="G48" s="416">
        <f>(G6+G16)/2</f>
        <v>893.51596988934307</v>
      </c>
      <c r="H48" s="415"/>
      <c r="I48" s="415">
        <f>(C6+D20)/2</f>
        <v>-593.51596988934307</v>
      </c>
      <c r="J48" s="415">
        <f>(D6+C20)/2</f>
        <v>-155</v>
      </c>
      <c r="K48" s="415"/>
      <c r="L48" s="415">
        <f>(F6+F20)/2</f>
        <v>455</v>
      </c>
      <c r="M48" s="416">
        <f>(G6+G20)/2</f>
        <v>893.51596988934307</v>
      </c>
      <c r="N48" s="77"/>
      <c r="O48" s="2"/>
      <c r="P48" s="2"/>
      <c r="Q48" s="2"/>
    </row>
    <row r="49" spans="1:17">
      <c r="A49" s="77"/>
      <c r="B49" s="417"/>
      <c r="C49" s="415">
        <f>(C7+D17)/2</f>
        <v>373.72322931097995</v>
      </c>
      <c r="D49" s="415">
        <f>(D7+C17)/2</f>
        <v>238.04591605141792</v>
      </c>
      <c r="E49" s="415"/>
      <c r="F49" s="415">
        <f>(F7+F17)/2</f>
        <v>238.04591605141792</v>
      </c>
      <c r="G49" s="416">
        <f>(G7+G17)/2</f>
        <v>373.72322931097995</v>
      </c>
      <c r="H49" s="415"/>
      <c r="I49" s="415">
        <f>(C7+D21)/2</f>
        <v>-73.723229310979946</v>
      </c>
      <c r="J49" s="415">
        <f>(D7+C21)/2</f>
        <v>61.954083948582081</v>
      </c>
      <c r="K49" s="415"/>
      <c r="L49" s="415">
        <f>(F7+F21)/2</f>
        <v>61.954083948582081</v>
      </c>
      <c r="M49" s="416">
        <f>(G7+G21)/2</f>
        <v>-73.723229310979946</v>
      </c>
      <c r="N49" s="77"/>
      <c r="O49" s="2"/>
      <c r="P49" s="2"/>
      <c r="Q49" s="2"/>
    </row>
    <row r="50" spans="1:17">
      <c r="A50" s="77"/>
      <c r="B50" s="23"/>
      <c r="C50" s="285">
        <f>IF(D50=0,0,C48)</f>
        <v>0</v>
      </c>
      <c r="D50" s="285">
        <f>IF($N$44=0,0,D48-$N$44*(D48-C48))</f>
        <v>0</v>
      </c>
      <c r="E50" s="285"/>
      <c r="F50" s="285">
        <f>IF($N$44=0,0,F48-$N$44*(F48-G48))</f>
        <v>0</v>
      </c>
      <c r="G50" s="398">
        <f>IF(F50=0,0,G48)</f>
        <v>0</v>
      </c>
      <c r="H50" s="285"/>
      <c r="I50" s="285">
        <f>IF(J50=0,0,I48)</f>
        <v>0</v>
      </c>
      <c r="J50" s="285">
        <f>IF($N$44=0,0,J48-$N$44*(J48-I48))</f>
        <v>0</v>
      </c>
      <c r="K50" s="285"/>
      <c r="L50" s="285">
        <f>IF($N$44=0,0,L48-$N$44*(L48-M48))</f>
        <v>0</v>
      </c>
      <c r="M50" s="398">
        <f>IF(L50=0,0,M48)</f>
        <v>0</v>
      </c>
      <c r="N50" s="77"/>
      <c r="O50" s="2"/>
      <c r="P50" s="2"/>
      <c r="Q50" s="2"/>
    </row>
    <row r="51" spans="1:17">
      <c r="A51" s="77"/>
      <c r="B51" s="399"/>
      <c r="C51" s="400">
        <f>IF(D51=0,0,C49)</f>
        <v>0</v>
      </c>
      <c r="D51" s="400">
        <f>IF($N$44=0,0,D49-$N$44*(D49-C49))</f>
        <v>0</v>
      </c>
      <c r="E51" s="400"/>
      <c r="F51" s="400">
        <f>IF($N$44=0,0,F49-$N$44*(F49-G49))</f>
        <v>0</v>
      </c>
      <c r="G51" s="401">
        <f>IF(F51=0,0,G49)</f>
        <v>0</v>
      </c>
      <c r="H51" s="400"/>
      <c r="I51" s="400">
        <f>IF(J51=0,0,I49)</f>
        <v>0</v>
      </c>
      <c r="J51" s="400">
        <f>IF($N$44=0,0,J49-$N$44*(J49-I49))</f>
        <v>0</v>
      </c>
      <c r="K51" s="400"/>
      <c r="L51" s="400">
        <f>IF($N$44=0,0,L49-$N$44*(L49-M49))</f>
        <v>0</v>
      </c>
      <c r="M51" s="401">
        <f>IF(L51=0,0,M49)</f>
        <v>0</v>
      </c>
      <c r="N51" s="77"/>
      <c r="O51" s="2"/>
      <c r="P51" s="2"/>
      <c r="Q51" s="2"/>
    </row>
    <row r="52" spans="1:17">
      <c r="A52" s="77"/>
      <c r="B52" s="23"/>
      <c r="C52" s="415">
        <f>(C14+C16)/2</f>
        <v>-90.545916051417919</v>
      </c>
      <c r="D52" s="415">
        <f>(D14+D16)/2</f>
        <v>-429.73919920032301</v>
      </c>
      <c r="E52" s="415"/>
      <c r="F52" s="415">
        <f>(F14+F16)/2</f>
        <v>390.54591605141792</v>
      </c>
      <c r="G52" s="416">
        <f>(G14+G16)/2</f>
        <v>729.73919920032301</v>
      </c>
      <c r="H52" s="415"/>
      <c r="I52" s="415">
        <f>(C18+C20)/2</f>
        <v>-90.545916051417919</v>
      </c>
      <c r="J52" s="415">
        <f>(D18+D20)/2</f>
        <v>-429.73919920032301</v>
      </c>
      <c r="K52" s="415"/>
      <c r="L52" s="415">
        <f>(F18+F20)/2</f>
        <v>390.54591605141792</v>
      </c>
      <c r="M52" s="416">
        <f>(G18+G20)/2</f>
        <v>729.73919920032301</v>
      </c>
      <c r="N52" s="77"/>
      <c r="O52" s="2"/>
      <c r="P52" s="2"/>
      <c r="Q52" s="2"/>
    </row>
    <row r="53" spans="1:17">
      <c r="A53" s="77"/>
      <c r="B53" s="417"/>
      <c r="C53" s="415">
        <f>(C15+C17)/2</f>
        <v>390.54591605141792</v>
      </c>
      <c r="D53" s="415">
        <f>(D15+D17)/2</f>
        <v>729.73919920032301</v>
      </c>
      <c r="E53" s="415"/>
      <c r="F53" s="415">
        <f>(F15+F17)/2</f>
        <v>390.54591605141792</v>
      </c>
      <c r="G53" s="416">
        <f>(G15+G17)/2</f>
        <v>729.73919920032301</v>
      </c>
      <c r="H53" s="415"/>
      <c r="I53" s="415">
        <f>(C19+C21)/2</f>
        <v>-90.545916051417919</v>
      </c>
      <c r="J53" s="415">
        <f>(D19+D21)/2</f>
        <v>-429.73919920032301</v>
      </c>
      <c r="K53" s="415"/>
      <c r="L53" s="415">
        <f>(F19+F21)/2</f>
        <v>-90.545916051417919</v>
      </c>
      <c r="M53" s="416">
        <f>(G19+G21)/2</f>
        <v>-429.73919920032301</v>
      </c>
      <c r="N53" s="77"/>
      <c r="O53" s="2"/>
      <c r="P53" s="2"/>
      <c r="Q53" s="2"/>
    </row>
    <row r="54" spans="1:17">
      <c r="A54" s="77"/>
      <c r="B54" s="23"/>
      <c r="C54" s="285">
        <f>IF($N$44=0,0,C52-$N$44*(C52-D52))</f>
        <v>0</v>
      </c>
      <c r="D54" s="285">
        <f>IF(C54=0,0,D52)</f>
        <v>0</v>
      </c>
      <c r="E54" s="285"/>
      <c r="F54" s="285">
        <f>IF($N$44=0,0,F52-$N$44*(F52-G52))</f>
        <v>0</v>
      </c>
      <c r="G54" s="398">
        <f>IF(F54=0,0,G52)</f>
        <v>0</v>
      </c>
      <c r="H54" s="285"/>
      <c r="I54" s="285">
        <f>IF($N$44=0,0,I52-$N$44*(I52-J52))</f>
        <v>0</v>
      </c>
      <c r="J54" s="285">
        <f>IF(I54=0,0,J52)</f>
        <v>0</v>
      </c>
      <c r="K54" s="285"/>
      <c r="L54" s="285">
        <f>IF($N$44=0,0,L52-$N$44*(L52-M52))</f>
        <v>0</v>
      </c>
      <c r="M54" s="398">
        <f>IF(L54=0,0,M52)</f>
        <v>0</v>
      </c>
      <c r="N54" s="77"/>
      <c r="O54" s="2"/>
      <c r="P54" s="2"/>
      <c r="Q54" s="2"/>
    </row>
    <row r="55" spans="1:17">
      <c r="A55" s="77"/>
      <c r="B55" s="25"/>
      <c r="C55" s="418">
        <f>IF($N$44=0,0,C53-$N$44*(C53-D53))</f>
        <v>0</v>
      </c>
      <c r="D55" s="418">
        <f>IF(C55=0,0,D53)</f>
        <v>0</v>
      </c>
      <c r="E55" s="418"/>
      <c r="F55" s="418">
        <f>IF($N$44=0,0,F53-$N$44*(F53-G53))</f>
        <v>0</v>
      </c>
      <c r="G55" s="419">
        <f>IF(F55=0,0,G53)</f>
        <v>0</v>
      </c>
      <c r="H55" s="418"/>
      <c r="I55" s="418">
        <f>IF($N$44=0,0,I53-$N$44*(I53-J53))</f>
        <v>0</v>
      </c>
      <c r="J55" s="418">
        <f>IF(I55=0,0,J53)</f>
        <v>0</v>
      </c>
      <c r="K55" s="418"/>
      <c r="L55" s="418">
        <f>IF($N$44=0,0,L53-$N$44*(L53-M53))</f>
        <v>0</v>
      </c>
      <c r="M55" s="419">
        <f>IF(L55=0,0,M53)</f>
        <v>0</v>
      </c>
      <c r="N55" s="77"/>
      <c r="O55" s="2"/>
      <c r="P55" s="2"/>
      <c r="Q55" s="2"/>
    </row>
    <row r="56" spans="1:17">
      <c r="A56" s="77"/>
      <c r="B56" s="77"/>
      <c r="C56" s="77"/>
      <c r="D56" s="77"/>
      <c r="E56" s="77"/>
      <c r="F56" s="77"/>
      <c r="G56" s="77"/>
      <c r="H56" s="77"/>
      <c r="I56" s="77"/>
      <c r="J56" s="77"/>
      <c r="K56" s="77"/>
      <c r="L56" s="77"/>
      <c r="M56" s="77"/>
      <c r="N56" s="77"/>
      <c r="O56" s="2"/>
      <c r="P56" s="2"/>
      <c r="Q56" s="2"/>
    </row>
    <row r="57" spans="1:17" ht="18.75">
      <c r="A57" s="77"/>
      <c r="B57" s="437" t="s">
        <v>104</v>
      </c>
      <c r="C57" s="77"/>
      <c r="D57" s="77"/>
      <c r="E57" s="77"/>
      <c r="F57" s="77"/>
      <c r="G57" s="77"/>
      <c r="H57" s="77"/>
      <c r="I57" s="77"/>
      <c r="J57" s="77"/>
      <c r="K57" s="77"/>
      <c r="L57" s="77"/>
      <c r="M57" s="77"/>
      <c r="N57" s="77"/>
      <c r="O57" s="2"/>
      <c r="P57" s="2"/>
      <c r="Q57" s="2"/>
    </row>
    <row r="58" spans="1:17">
      <c r="A58" s="77"/>
      <c r="B58" s="78"/>
      <c r="C58" s="78" t="s">
        <v>124</v>
      </c>
      <c r="D58" s="235">
        <f>EDGE!O31</f>
        <v>280</v>
      </c>
      <c r="E58" s="78" t="s">
        <v>125</v>
      </c>
      <c r="F58" s="235">
        <f>EDGE!D35</f>
        <v>95</v>
      </c>
      <c r="G58" s="77"/>
      <c r="H58" s="77"/>
      <c r="I58" s="77"/>
      <c r="J58" s="77"/>
      <c r="K58" s="77"/>
      <c r="L58" s="77"/>
      <c r="M58" s="77"/>
      <c r="N58" s="77"/>
      <c r="O58" s="2"/>
      <c r="P58" s="2"/>
      <c r="Q58" s="2"/>
    </row>
    <row r="59" spans="1:17">
      <c r="A59" s="77"/>
      <c r="B59" s="388" t="s">
        <v>39</v>
      </c>
      <c r="C59" s="389">
        <v>0</v>
      </c>
      <c r="D59" s="389">
        <f>C59</f>
        <v>0</v>
      </c>
      <c r="E59" s="389">
        <f>EDGE!E12</f>
        <v>300</v>
      </c>
      <c r="F59" s="389">
        <f>E59</f>
        <v>300</v>
      </c>
      <c r="G59" s="390">
        <f>C59</f>
        <v>0</v>
      </c>
      <c r="H59" s="428"/>
      <c r="I59" s="137"/>
      <c r="J59" s="77"/>
      <c r="K59" s="77"/>
      <c r="L59" s="77"/>
      <c r="M59" s="77"/>
      <c r="N59" s="77"/>
      <c r="O59" s="2"/>
      <c r="P59" s="2"/>
      <c r="Q59" s="2"/>
    </row>
    <row r="60" spans="1:17">
      <c r="A60" s="77"/>
      <c r="B60" s="391"/>
      <c r="C60" s="392">
        <v>0</v>
      </c>
      <c r="D60" s="392">
        <f>EDGE!E13</f>
        <v>1200</v>
      </c>
      <c r="E60" s="392">
        <f>D60</f>
        <v>1200</v>
      </c>
      <c r="F60" s="392">
        <v>0</v>
      </c>
      <c r="G60" s="393">
        <f>C60</f>
        <v>0</v>
      </c>
      <c r="H60" s="428"/>
      <c r="I60" s="137"/>
      <c r="J60" s="77"/>
      <c r="K60" s="77"/>
      <c r="L60" s="77"/>
      <c r="M60" s="77"/>
      <c r="N60" s="77"/>
      <c r="O60" s="2"/>
      <c r="P60" s="2"/>
      <c r="Q60" s="2"/>
    </row>
    <row r="61" spans="1:17" ht="15.75">
      <c r="A61" s="77"/>
      <c r="B61" s="100" t="s">
        <v>148</v>
      </c>
      <c r="C61" s="394">
        <f>D61-D58</f>
        <v>-375</v>
      </c>
      <c r="D61" s="394">
        <f>-F58</f>
        <v>-95</v>
      </c>
      <c r="E61" s="394"/>
      <c r="F61" s="394">
        <f>F58+EDGE!E12</f>
        <v>395</v>
      </c>
      <c r="G61" s="395">
        <f>F61+D58</f>
        <v>675</v>
      </c>
      <c r="H61" s="394"/>
      <c r="I61" s="394">
        <f>IF(EDGE!$O$28=1,0,C61)</f>
        <v>0</v>
      </c>
      <c r="J61" s="394">
        <f>IF(EDGE!$O$28=1,0,D61)</f>
        <v>0</v>
      </c>
      <c r="K61" s="394"/>
      <c r="L61" s="394">
        <f>IF(EDGE!$O$28=1,0,F61)</f>
        <v>0</v>
      </c>
      <c r="M61" s="395">
        <f>IF(EDGE!$O$28=1,0,G61)</f>
        <v>0</v>
      </c>
      <c r="N61" s="427">
        <f>IF(ISNA(EDGE!O18),1,EDGE!O18-FLOOR(EDGE!O18,2))</f>
        <v>0</v>
      </c>
      <c r="O61" s="2"/>
      <c r="P61" s="2"/>
      <c r="Q61" s="2"/>
    </row>
    <row r="62" spans="1:17" ht="15.75">
      <c r="A62" s="77"/>
      <c r="B62" s="23"/>
      <c r="C62" s="396">
        <f>EDGE!E13/2</f>
        <v>600</v>
      </c>
      <c r="D62" s="396">
        <f>C62</f>
        <v>600</v>
      </c>
      <c r="E62" s="396"/>
      <c r="F62" s="396">
        <f>C62</f>
        <v>600</v>
      </c>
      <c r="G62" s="397">
        <f>C62</f>
        <v>600</v>
      </c>
      <c r="H62" s="396"/>
      <c r="I62" s="396">
        <f>IF(EDGE!$O$28=1,0,C62)</f>
        <v>0</v>
      </c>
      <c r="J62" s="396">
        <f>IF(EDGE!$O$28=1,0,D62)</f>
        <v>0</v>
      </c>
      <c r="K62" s="396"/>
      <c r="L62" s="396">
        <f>IF(EDGE!$O$28=1,0,F62)</f>
        <v>0</v>
      </c>
      <c r="M62" s="397">
        <f>IF(EDGE!$O$28=1,0,G62)</f>
        <v>0</v>
      </c>
      <c r="N62" s="427">
        <f>IF(ISNA(EDGE!O19),1,EDGE!O19-FLOOR(EDGE!O19,2))</f>
        <v>1</v>
      </c>
      <c r="O62" s="2"/>
      <c r="P62" s="2"/>
      <c r="Q62" s="2"/>
    </row>
    <row r="63" spans="1:17">
      <c r="A63" s="77"/>
      <c r="B63" s="23" t="s">
        <v>149</v>
      </c>
      <c r="C63" s="285">
        <f>IF(EDGE!$S8=5,0,C61)</f>
        <v>-375</v>
      </c>
      <c r="D63" s="285">
        <f>IF(EDGE!$S8=5,0,D61)</f>
        <v>-95</v>
      </c>
      <c r="E63" s="285"/>
      <c r="F63" s="285">
        <f>IF(EDGE!$S8=5,0,F61)</f>
        <v>395</v>
      </c>
      <c r="G63" s="398">
        <f>IF(EDGE!$S8=5,0,G61)</f>
        <v>675</v>
      </c>
      <c r="H63" s="20"/>
      <c r="I63" s="285">
        <f>IF(EDGE!$O$28=1,0,C63)</f>
        <v>0</v>
      </c>
      <c r="J63" s="285">
        <f>IF(EDGE!$O$28=1,0,D63)</f>
        <v>0</v>
      </c>
      <c r="K63" s="285"/>
      <c r="L63" s="285">
        <f>IF(EDGE!$O$28=1,0,F63)</f>
        <v>0</v>
      </c>
      <c r="M63" s="398">
        <f>IF(EDGE!$O$28=1,0,G63)</f>
        <v>0</v>
      </c>
      <c r="N63" s="77"/>
      <c r="O63" s="2"/>
      <c r="P63" s="2"/>
      <c r="Q63" s="2"/>
    </row>
    <row r="64" spans="1:17">
      <c r="A64" s="77"/>
      <c r="B64" s="23"/>
      <c r="C64" s="396">
        <f>IF(EDGE!$S8=5,0,EDGE!E13)</f>
        <v>1200</v>
      </c>
      <c r="D64" s="396">
        <f>C64</f>
        <v>1200</v>
      </c>
      <c r="E64" s="396"/>
      <c r="F64" s="396">
        <f>C64</f>
        <v>1200</v>
      </c>
      <c r="G64" s="397">
        <f>C64</f>
        <v>1200</v>
      </c>
      <c r="H64" s="420"/>
      <c r="I64" s="396">
        <f>IF(EDGE!$O$28=1,0,C64)</f>
        <v>0</v>
      </c>
      <c r="J64" s="396">
        <f>IF(EDGE!$O$28=1,0,D64)</f>
        <v>0</v>
      </c>
      <c r="K64" s="396"/>
      <c r="L64" s="396">
        <f>IF(EDGE!$O$28=1,0,F64)</f>
        <v>0</v>
      </c>
      <c r="M64" s="397">
        <f>IF(EDGE!$O$28=1,0,G64)</f>
        <v>0</v>
      </c>
      <c r="N64" s="77"/>
      <c r="O64" s="2"/>
      <c r="P64" s="2"/>
      <c r="Q64" s="2"/>
    </row>
    <row r="65" spans="1:17">
      <c r="A65" s="77"/>
      <c r="B65" s="23" t="s">
        <v>127</v>
      </c>
      <c r="C65" s="285">
        <f>EDGE!E12/2</f>
        <v>150</v>
      </c>
      <c r="D65" s="285">
        <f>C65</f>
        <v>150</v>
      </c>
      <c r="E65" s="285"/>
      <c r="F65" s="285"/>
      <c r="G65" s="398"/>
      <c r="H65" s="285"/>
      <c r="I65" s="285">
        <f>IF(EDGE!$O$28=1,0,C65)</f>
        <v>0</v>
      </c>
      <c r="J65" s="285">
        <f>IF(EDGE!$O$28=1,0,D65)</f>
        <v>0</v>
      </c>
      <c r="K65" s="285"/>
      <c r="L65" s="285"/>
      <c r="M65" s="398"/>
      <c r="N65" s="77"/>
      <c r="O65" s="2"/>
      <c r="P65" s="2"/>
      <c r="Q65" s="2"/>
    </row>
    <row r="66" spans="1:17">
      <c r="A66" s="77"/>
      <c r="B66" s="399"/>
      <c r="C66" s="400">
        <f>-F58</f>
        <v>-95</v>
      </c>
      <c r="D66" s="400">
        <f>C66-D58</f>
        <v>-375</v>
      </c>
      <c r="E66" s="400"/>
      <c r="F66" s="400"/>
      <c r="G66" s="401"/>
      <c r="H66" s="400"/>
      <c r="I66" s="400">
        <f>IF(EDGE!$O$28=1,0,C66)</f>
        <v>0</v>
      </c>
      <c r="J66" s="400">
        <f>IF(EDGE!$O$28=1,0,D66)</f>
        <v>0</v>
      </c>
      <c r="K66" s="400"/>
      <c r="L66" s="400"/>
      <c r="M66" s="401"/>
      <c r="N66" s="77"/>
      <c r="O66" s="2"/>
      <c r="P66" s="2"/>
      <c r="Q66" s="2"/>
    </row>
    <row r="67" spans="1:17">
      <c r="A67" s="77"/>
      <c r="B67" s="23" t="s">
        <v>129</v>
      </c>
      <c r="C67" s="285">
        <f>IF(EDGE!$E$12&gt;EDGE!$E$13,EDGE!$E$12/2-EDGE!$E$13/2-F58,-F58)</f>
        <v>-95</v>
      </c>
      <c r="D67" s="285">
        <f>C67-D58/O1</f>
        <v>-292.98989873223331</v>
      </c>
      <c r="E67" s="285"/>
      <c r="F67" s="285">
        <f>IF(EDGE!$E$12&gt;EDGE!$E$13,EDGE!E13/2+F58+EDGE!E12/2,F61)</f>
        <v>395</v>
      </c>
      <c r="G67" s="398">
        <f>F67+D58/O1</f>
        <v>592.98989873223331</v>
      </c>
      <c r="H67" s="285"/>
      <c r="I67" s="285">
        <f>IF(AND(EDGE!$O$28=0,EDGE!$R$28=1),C67,0)</f>
        <v>0</v>
      </c>
      <c r="J67" s="285">
        <f>IF(AND(EDGE!$O$28=0,EDGE!$R$28=1),D67,0)</f>
        <v>0</v>
      </c>
      <c r="K67" s="285"/>
      <c r="L67" s="285">
        <f>IF(AND(EDGE!$O$28=0,EDGE!$R$28=1),F67,0)</f>
        <v>0</v>
      </c>
      <c r="M67" s="398">
        <f>IF(AND(EDGE!$O$28=0,EDGE!$R$28=1),G67,0)</f>
        <v>0</v>
      </c>
      <c r="N67" s="77"/>
      <c r="O67" s="2"/>
      <c r="P67" s="2"/>
      <c r="Q67" s="2"/>
    </row>
    <row r="68" spans="1:17">
      <c r="A68" s="77"/>
      <c r="B68" s="23"/>
      <c r="C68" s="396">
        <f>IF(EDGE!$E$12&gt;EDGE!$E$13,-F58,EDGE!E13/2-F58-EDGE!E12/2)</f>
        <v>355</v>
      </c>
      <c r="D68" s="396">
        <f>C68-D58/O1</f>
        <v>157.01010126776671</v>
      </c>
      <c r="E68" s="396"/>
      <c r="F68" s="396">
        <f>C68</f>
        <v>355</v>
      </c>
      <c r="G68" s="397">
        <f>D68</f>
        <v>157.01010126776671</v>
      </c>
      <c r="H68" s="396"/>
      <c r="I68" s="396">
        <f>IF(AND(EDGE!$O$28=0,EDGE!$R$28=1),C68,0)</f>
        <v>0</v>
      </c>
      <c r="J68" s="396">
        <f>IF(AND(EDGE!$O$28=0,EDGE!$R$28=1),D68,0)</f>
        <v>0</v>
      </c>
      <c r="K68" s="396"/>
      <c r="L68" s="396">
        <f>IF(AND(EDGE!$O$28=0,EDGE!$R$28=1),F68,0)</f>
        <v>0</v>
      </c>
      <c r="M68" s="397">
        <f>IF(AND(EDGE!$O$28=0,EDGE!$R$28=1),G68,0)</f>
        <v>0</v>
      </c>
      <c r="N68" s="77"/>
      <c r="O68" s="2"/>
      <c r="P68" s="2"/>
      <c r="Q68" s="2"/>
    </row>
    <row r="69" spans="1:17">
      <c r="A69" s="77"/>
      <c r="B69" s="23" t="s">
        <v>133</v>
      </c>
      <c r="C69" s="285">
        <f>-F58</f>
        <v>-95</v>
      </c>
      <c r="D69" s="285">
        <f>C69-D58*O3</f>
        <v>-337.48711305964287</v>
      </c>
      <c r="E69" s="285"/>
      <c r="F69" s="285">
        <f>2*C65-C69</f>
        <v>395</v>
      </c>
      <c r="G69" s="398">
        <f>F69+D58*O3</f>
        <v>637.48711305964287</v>
      </c>
      <c r="H69" s="285"/>
      <c r="I69" s="285">
        <f>IF(AND(EDGE!$O$28+EDGE!$R$28=0,EDGE!$U$28&gt;0),C69,0)</f>
        <v>0</v>
      </c>
      <c r="J69" s="285">
        <f>IF(AND(EDGE!$O$28+EDGE!$R$28=0,EDGE!$U$28&gt;0),D69,0)</f>
        <v>0</v>
      </c>
      <c r="K69" s="285"/>
      <c r="L69" s="285">
        <f>IF(AND(EDGE!$O$28+EDGE!$R$28=0,EDGE!$U$28&gt;0),F69,0)</f>
        <v>0</v>
      </c>
      <c r="M69" s="398">
        <f>IF(AND(EDGE!$O$28+EDGE!$R$28=0,EDGE!$U$28&gt;0),G69,0)</f>
        <v>0</v>
      </c>
      <c r="N69" s="77"/>
      <c r="O69" s="2"/>
      <c r="P69" s="2"/>
      <c r="Q69" s="2"/>
    </row>
    <row r="70" spans="1:17">
      <c r="A70" s="77"/>
      <c r="B70" s="23"/>
      <c r="C70" s="396">
        <f>C62-(C65+F58)*O2</f>
        <v>458.54918404854169</v>
      </c>
      <c r="D70" s="396">
        <f>C70-D58/2</f>
        <v>318.54918404854169</v>
      </c>
      <c r="E70" s="396"/>
      <c r="F70" s="396">
        <f>C70</f>
        <v>458.54918404854169</v>
      </c>
      <c r="G70" s="397">
        <f>D70</f>
        <v>318.54918404854169</v>
      </c>
      <c r="H70" s="396"/>
      <c r="I70" s="396">
        <f>IF(AND(EDGE!$O$28+EDGE!$R$28=0,EDGE!$U$28&gt;0),C70,0)</f>
        <v>0</v>
      </c>
      <c r="J70" s="396">
        <f>IF(AND(EDGE!$O$28+EDGE!$R$28=0,EDGE!$U$28&gt;0),D70,0)</f>
        <v>0</v>
      </c>
      <c r="K70" s="396"/>
      <c r="L70" s="396">
        <f>IF(AND(EDGE!$O$28+EDGE!$R$28=0,EDGE!$U$28&gt;0),F70,0)</f>
        <v>0</v>
      </c>
      <c r="M70" s="397">
        <f>IF(AND(EDGE!$O$28+EDGE!$R$28=0,EDGE!$U$28&gt;0),G70,0)</f>
        <v>0</v>
      </c>
      <c r="N70" s="77"/>
      <c r="O70" s="2"/>
      <c r="P70" s="2"/>
      <c r="Q70" s="2"/>
    </row>
    <row r="71" spans="1:17">
      <c r="A71" s="77"/>
      <c r="B71" s="23" t="s">
        <v>131</v>
      </c>
      <c r="C71" s="285">
        <f>C65-(C62+F58)*O2</f>
        <v>-251.25843708678991</v>
      </c>
      <c r="D71" s="285">
        <f>C71-D58/2</f>
        <v>-391.25843708678991</v>
      </c>
      <c r="E71" s="285"/>
      <c r="F71" s="285">
        <f>2*C65-C71</f>
        <v>551.25843708678985</v>
      </c>
      <c r="G71" s="398">
        <f>F71+D58/2</f>
        <v>691.25843708678985</v>
      </c>
      <c r="H71" s="285"/>
      <c r="I71" s="285">
        <f>IF(AND(EDGE!$O$28+EDGE!$R$28=0,EDGE!$U$28&gt;0),C71,0)</f>
        <v>0</v>
      </c>
      <c r="J71" s="285">
        <f>IF(AND(EDGE!$O$28+EDGE!$R$28=0,EDGE!$U$28&gt;0),D71,0)</f>
        <v>0</v>
      </c>
      <c r="K71" s="285"/>
      <c r="L71" s="285">
        <f>IF(AND(EDGE!$O$28+EDGE!$R$28=0,EDGE!$U$28&gt;0),F71,0)</f>
        <v>0</v>
      </c>
      <c r="M71" s="398">
        <f>IF(AND(EDGE!$O$28+EDGE!$R$28=0,EDGE!$U$28&gt;0),G71,0)</f>
        <v>0</v>
      </c>
      <c r="N71" s="77"/>
      <c r="O71" s="2"/>
      <c r="P71" s="2"/>
      <c r="Q71" s="2"/>
    </row>
    <row r="72" spans="1:17">
      <c r="A72" s="77"/>
      <c r="B72" s="399"/>
      <c r="C72" s="400">
        <f>-F58</f>
        <v>-95</v>
      </c>
      <c r="D72" s="400">
        <f>C72-D58*O3</f>
        <v>-337.48711305964287</v>
      </c>
      <c r="E72" s="400"/>
      <c r="F72" s="400">
        <f>C72</f>
        <v>-95</v>
      </c>
      <c r="G72" s="401">
        <f>D72</f>
        <v>-337.48711305964287</v>
      </c>
      <c r="H72" s="400"/>
      <c r="I72" s="400">
        <f>IF(AND(EDGE!$O$28+EDGE!$R$28=0,EDGE!$U$28&gt;0),C72,0)</f>
        <v>0</v>
      </c>
      <c r="J72" s="400">
        <f>IF(AND(EDGE!$O$28+EDGE!$R$28=0,EDGE!$U$28&gt;0),D72,0)</f>
        <v>0</v>
      </c>
      <c r="K72" s="400"/>
      <c r="L72" s="400">
        <f>IF(AND(EDGE!$O$28+EDGE!$R$28=0,EDGE!$U$28&gt;0),F72,0)</f>
        <v>0</v>
      </c>
      <c r="M72" s="401">
        <f>IF(AND(EDGE!$O$28+EDGE!$R$28=0,EDGE!$U$28&gt;0),G72,0)</f>
        <v>0</v>
      </c>
      <c r="N72" s="77"/>
      <c r="O72" s="2"/>
      <c r="P72" s="2"/>
      <c r="Q72" s="2"/>
    </row>
    <row r="73" spans="1:17" ht="15.75">
      <c r="A73" s="77"/>
      <c r="B73" s="23" t="s">
        <v>136</v>
      </c>
      <c r="C73" s="285">
        <f>C61</f>
        <v>-375</v>
      </c>
      <c r="D73" s="285">
        <f>D61</f>
        <v>-95</v>
      </c>
      <c r="E73" s="285"/>
      <c r="F73" s="285">
        <f>F61</f>
        <v>395</v>
      </c>
      <c r="G73" s="398">
        <f>G61</f>
        <v>675</v>
      </c>
      <c r="H73" s="285"/>
      <c r="I73" s="285">
        <f>IF(EDGE!$O$28=1,C73,0)</f>
        <v>-375</v>
      </c>
      <c r="J73" s="285">
        <f>IF(EDGE!$O$28=1,D73,0)</f>
        <v>-95</v>
      </c>
      <c r="K73" s="285"/>
      <c r="L73" s="285">
        <f>IF(EDGE!$O$28=1,F73,0)</f>
        <v>395</v>
      </c>
      <c r="M73" s="398">
        <f>IF(EDGE!$O$28=1,G73,0)</f>
        <v>675</v>
      </c>
      <c r="N73" s="77"/>
      <c r="O73" s="73">
        <f>EDGE!O21</f>
        <v>240</v>
      </c>
      <c r="P73" s="2"/>
      <c r="Q73" s="2"/>
    </row>
    <row r="74" spans="1:17" ht="15.75">
      <c r="A74" s="77"/>
      <c r="B74" s="23"/>
      <c r="C74" s="402">
        <f>-EDGE!$O$9</f>
        <v>-40</v>
      </c>
      <c r="D74" s="396">
        <f>C74</f>
        <v>-40</v>
      </c>
      <c r="E74" s="396"/>
      <c r="F74" s="396">
        <f>C74</f>
        <v>-40</v>
      </c>
      <c r="G74" s="397">
        <f>C74</f>
        <v>-40</v>
      </c>
      <c r="H74" s="396"/>
      <c r="I74" s="396">
        <f>IF(EDGE!$O$28=1,C74,0)</f>
        <v>-40</v>
      </c>
      <c r="J74" s="396">
        <f>IF(EDGE!$O$28=1,D74,0)</f>
        <v>-40</v>
      </c>
      <c r="K74" s="396"/>
      <c r="L74" s="396">
        <f>IF(EDGE!$O$28=1,F74,0)</f>
        <v>-40</v>
      </c>
      <c r="M74" s="397">
        <f>IF(EDGE!$O$28=1,G74,0)</f>
        <v>-40</v>
      </c>
      <c r="N74" s="77"/>
      <c r="O74" s="73">
        <f>EDGE!O18</f>
        <v>6</v>
      </c>
      <c r="P74" s="2"/>
      <c r="Q74" s="2"/>
    </row>
    <row r="75" spans="1:17">
      <c r="A75" s="77"/>
      <c r="B75" s="23" t="s">
        <v>135</v>
      </c>
      <c r="C75" s="396">
        <f>MIN(EDGE!E13,EDGE!E13+EDGE!E15)-40</f>
        <v>1160</v>
      </c>
      <c r="D75" s="396">
        <f>C75</f>
        <v>1160</v>
      </c>
      <c r="E75" s="396"/>
      <c r="F75" s="396">
        <f>C75</f>
        <v>1160</v>
      </c>
      <c r="G75" s="397">
        <f>C75</f>
        <v>1160</v>
      </c>
      <c r="H75" s="396"/>
      <c r="I75" s="396">
        <f>IF(EDGE!$O$28=1,C75,0)</f>
        <v>1160</v>
      </c>
      <c r="J75" s="396">
        <f>IF(EDGE!$O$28=1,D75,0)</f>
        <v>1160</v>
      </c>
      <c r="K75" s="396"/>
      <c r="L75" s="396">
        <f>IF(EDGE!$O$28=1,F75,0)</f>
        <v>1160</v>
      </c>
      <c r="M75" s="397">
        <f>IF(EDGE!$O$28=1,G75,0)</f>
        <v>1160</v>
      </c>
      <c r="N75" s="77"/>
      <c r="O75" s="2"/>
      <c r="P75" s="2"/>
      <c r="Q75" s="2"/>
    </row>
    <row r="76" spans="1:17">
      <c r="A76" s="77"/>
      <c r="B76" s="23" t="s">
        <v>173</v>
      </c>
      <c r="C76" s="396">
        <f>C74+O73</f>
        <v>200</v>
      </c>
      <c r="D76" s="396">
        <f>C76</f>
        <v>200</v>
      </c>
      <c r="E76" s="396"/>
      <c r="F76" s="396">
        <f>C76</f>
        <v>200</v>
      </c>
      <c r="G76" s="397">
        <f>C76</f>
        <v>200</v>
      </c>
      <c r="H76" s="396"/>
      <c r="I76" s="396">
        <f>IF(EDGE!$O$28=1,C76,0)</f>
        <v>200</v>
      </c>
      <c r="J76" s="396">
        <f>IF(EDGE!$O$28=1,D76,0)</f>
        <v>200</v>
      </c>
      <c r="K76" s="396"/>
      <c r="L76" s="396">
        <f>IF(EDGE!$O$28=1,F76,0)</f>
        <v>200</v>
      </c>
      <c r="M76" s="397">
        <f>IF(EDGE!$O$28=1,G76,0)</f>
        <v>200</v>
      </c>
      <c r="N76" s="77"/>
      <c r="O76" s="386" t="s">
        <v>145</v>
      </c>
      <c r="P76" s="2"/>
      <c r="Q76" s="2"/>
    </row>
    <row r="77" spans="1:17">
      <c r="A77" s="77"/>
      <c r="B77" s="23" t="s">
        <v>137</v>
      </c>
      <c r="C77" s="285">
        <f>IF($O$74&gt;3,C73,0)</f>
        <v>-375</v>
      </c>
      <c r="D77" s="285">
        <f>IF($O$74&gt;3,D73,0)</f>
        <v>-95</v>
      </c>
      <c r="E77" s="20"/>
      <c r="F77" s="285">
        <f>IF($O$74&gt;3,F73,0)</f>
        <v>395</v>
      </c>
      <c r="G77" s="421">
        <f>IF($O$74&gt;3,G73,0)</f>
        <v>675</v>
      </c>
      <c r="H77" s="285"/>
      <c r="I77" s="285">
        <f>IF(EDGE!$O$28=1,C77,0)</f>
        <v>-375</v>
      </c>
      <c r="J77" s="285">
        <f>IF(EDGE!$O$28=1,D77,0)</f>
        <v>-95</v>
      </c>
      <c r="K77" s="285"/>
      <c r="L77" s="285">
        <f>IF(EDGE!$O$28=1,F77,0)</f>
        <v>395</v>
      </c>
      <c r="M77" s="398">
        <f>IF(EDGE!$O$28=1,G77,0)</f>
        <v>675</v>
      </c>
      <c r="N77" s="77"/>
      <c r="O77" s="9">
        <f>C89</f>
        <v>-471.5</v>
      </c>
      <c r="P77" s="9">
        <f>D89</f>
        <v>771.5</v>
      </c>
      <c r="Q77" s="3">
        <f>ABS(O77-P77)</f>
        <v>1243</v>
      </c>
    </row>
    <row r="78" spans="1:17">
      <c r="A78" s="77"/>
      <c r="B78" s="23"/>
      <c r="C78" s="396">
        <f>IF($O$74&gt;3,C76+O73,0)</f>
        <v>440</v>
      </c>
      <c r="D78" s="396">
        <f>C78</f>
        <v>440</v>
      </c>
      <c r="E78" s="396"/>
      <c r="F78" s="396">
        <f>C78</f>
        <v>440</v>
      </c>
      <c r="G78" s="397">
        <f>C78</f>
        <v>440</v>
      </c>
      <c r="H78" s="396"/>
      <c r="I78" s="396">
        <f>IF(EDGE!$O$28=1,C78,0)</f>
        <v>440</v>
      </c>
      <c r="J78" s="396">
        <f>IF(EDGE!$O$28=1,D78,0)</f>
        <v>440</v>
      </c>
      <c r="K78" s="396"/>
      <c r="L78" s="396">
        <f>IF(EDGE!$O$28=1,F78,0)</f>
        <v>440</v>
      </c>
      <c r="M78" s="397">
        <f>IF(EDGE!$O$28=1,G78,0)</f>
        <v>440</v>
      </c>
      <c r="N78" s="77"/>
      <c r="O78" s="9">
        <f>D66</f>
        <v>-375</v>
      </c>
      <c r="P78" s="9">
        <f>C90</f>
        <v>1200</v>
      </c>
      <c r="Q78" s="3">
        <f>ABS(O78-P78)</f>
        <v>1575</v>
      </c>
    </row>
    <row r="79" spans="1:17">
      <c r="A79" s="77"/>
      <c r="B79" s="23" t="s">
        <v>138</v>
      </c>
      <c r="C79" s="285">
        <f>IF($O$74&gt;4,C73,0)</f>
        <v>-375</v>
      </c>
      <c r="D79" s="285">
        <f>IF($O$74&gt;4,D73,0)</f>
        <v>-95</v>
      </c>
      <c r="E79" s="285"/>
      <c r="F79" s="285">
        <f>IF($O$74&gt;4,F73,0)</f>
        <v>395</v>
      </c>
      <c r="G79" s="398">
        <f>IF($O$74&gt;4,G73,0)</f>
        <v>675</v>
      </c>
      <c r="H79" s="285"/>
      <c r="I79" s="285">
        <f>IF(EDGE!$O$28=1,C79,0)</f>
        <v>-375</v>
      </c>
      <c r="J79" s="285">
        <f>IF(EDGE!$O$28=1,D79,0)</f>
        <v>-95</v>
      </c>
      <c r="K79" s="285"/>
      <c r="L79" s="285">
        <f>IF(EDGE!$O$28=1,F79,0)</f>
        <v>395</v>
      </c>
      <c r="M79" s="398">
        <f>IF(EDGE!$O$28=1,G79,0)</f>
        <v>675</v>
      </c>
      <c r="N79" s="77"/>
      <c r="O79" s="7">
        <f>O77+MAX(Q77:Q78)</f>
        <v>1103.5</v>
      </c>
      <c r="P79" s="2"/>
      <c r="Q79" s="2"/>
    </row>
    <row r="80" spans="1:17">
      <c r="A80" s="77"/>
      <c r="B80" s="23"/>
      <c r="C80" s="396">
        <f>IF($O$74&gt;4,C78+O73,0)</f>
        <v>680</v>
      </c>
      <c r="D80" s="396">
        <f>C80</f>
        <v>680</v>
      </c>
      <c r="E80" s="396"/>
      <c r="F80" s="396">
        <f>C80</f>
        <v>680</v>
      </c>
      <c r="G80" s="397">
        <f>C80</f>
        <v>680</v>
      </c>
      <c r="H80" s="396"/>
      <c r="I80" s="396">
        <f>IF(EDGE!$O$28=1,C80,0)</f>
        <v>680</v>
      </c>
      <c r="J80" s="396">
        <f>IF(EDGE!$O$28=1,D80,0)</f>
        <v>680</v>
      </c>
      <c r="K80" s="396"/>
      <c r="L80" s="396">
        <f>IF(EDGE!$O$28=1,F80,0)</f>
        <v>680</v>
      </c>
      <c r="M80" s="397">
        <f>IF(EDGE!$O$28=1,G80,0)</f>
        <v>680</v>
      </c>
      <c r="N80" s="77"/>
      <c r="O80" s="7">
        <f>O78+MAX(Q77:Q78)</f>
        <v>1200</v>
      </c>
      <c r="P80" s="2"/>
      <c r="Q80" s="2"/>
    </row>
    <row r="81" spans="1:17">
      <c r="A81" s="77"/>
      <c r="B81" s="23" t="s">
        <v>139</v>
      </c>
      <c r="C81" s="285">
        <f>IF($O$74&gt;5,C73,0)</f>
        <v>-375</v>
      </c>
      <c r="D81" s="285">
        <f>IF($O$74&gt;5,D73,0)</f>
        <v>-95</v>
      </c>
      <c r="E81" s="285"/>
      <c r="F81" s="285">
        <f>IF($O$74&gt;5,F73,0)</f>
        <v>395</v>
      </c>
      <c r="G81" s="398">
        <f>IF($O$74&gt;5,G73,0)</f>
        <v>675</v>
      </c>
      <c r="H81" s="285"/>
      <c r="I81" s="285">
        <f>IF(EDGE!$O$28=1,C81,0)</f>
        <v>-375</v>
      </c>
      <c r="J81" s="285">
        <f>IF(EDGE!$O$28=1,D81,0)</f>
        <v>-95</v>
      </c>
      <c r="K81" s="285"/>
      <c r="L81" s="285">
        <f>IF(EDGE!$O$28=1,F81,0)</f>
        <v>395</v>
      </c>
      <c r="M81" s="398">
        <f>IF(EDGE!$O$28=1,G81,0)</f>
        <v>675</v>
      </c>
      <c r="N81" s="77"/>
      <c r="O81" s="2"/>
      <c r="P81" s="2"/>
      <c r="Q81" s="2"/>
    </row>
    <row r="82" spans="1:17">
      <c r="A82" s="77"/>
      <c r="B82" s="399"/>
      <c r="C82" s="400">
        <f>IF($O$74&gt;5,C80+O73,0)</f>
        <v>920</v>
      </c>
      <c r="D82" s="400">
        <f>C82</f>
        <v>920</v>
      </c>
      <c r="E82" s="400"/>
      <c r="F82" s="400">
        <f>C82</f>
        <v>920</v>
      </c>
      <c r="G82" s="401">
        <f>C82</f>
        <v>920</v>
      </c>
      <c r="H82" s="400"/>
      <c r="I82" s="400">
        <f>IF(EDGE!$O$28=1,C82,0)</f>
        <v>920</v>
      </c>
      <c r="J82" s="400">
        <f>IF(EDGE!$O$28=1,D82,0)</f>
        <v>920</v>
      </c>
      <c r="K82" s="400"/>
      <c r="L82" s="400">
        <f>IF(EDGE!$O$28=1,F82,0)</f>
        <v>920</v>
      </c>
      <c r="M82" s="401">
        <f>IF(EDGE!$O$28=1,G82,0)</f>
        <v>920</v>
      </c>
      <c r="N82" s="77"/>
      <c r="O82" s="2"/>
      <c r="P82" s="2"/>
      <c r="Q82" s="2"/>
    </row>
    <row r="83" spans="1:17" ht="15.75">
      <c r="A83" s="77"/>
      <c r="B83" s="422" t="s">
        <v>150</v>
      </c>
      <c r="C83" s="285">
        <f>C74</f>
        <v>-40</v>
      </c>
      <c r="D83" s="285">
        <f>C83</f>
        <v>-40</v>
      </c>
      <c r="E83" s="285"/>
      <c r="F83" s="285">
        <f>EDGE!E12-C74</f>
        <v>340</v>
      </c>
      <c r="G83" s="398">
        <f>F83</f>
        <v>340</v>
      </c>
      <c r="H83" s="423"/>
      <c r="I83" s="424">
        <f>IF(EDGE!$O$28=1,C83,0)</f>
        <v>-40</v>
      </c>
      <c r="J83" s="424">
        <f>IF(EDGE!$O$28=1,D83,0)</f>
        <v>-40</v>
      </c>
      <c r="K83" s="424"/>
      <c r="L83" s="424">
        <f>IF(EDGE!$O$28=1,F83,0)</f>
        <v>340</v>
      </c>
      <c r="M83" s="425">
        <f>IF(EDGE!$O$28=1,G83,0)</f>
        <v>340</v>
      </c>
      <c r="N83" s="77"/>
      <c r="O83" s="73">
        <f>EDGE!O22</f>
        <v>190</v>
      </c>
      <c r="P83" s="2"/>
      <c r="Q83" s="2"/>
    </row>
    <row r="84" spans="1:17" ht="15.75">
      <c r="A84" s="77"/>
      <c r="B84" s="23"/>
      <c r="C84" s="396">
        <f>C66</f>
        <v>-95</v>
      </c>
      <c r="D84" s="396">
        <f>D66</f>
        <v>-375</v>
      </c>
      <c r="E84" s="396"/>
      <c r="F84" s="396">
        <f>C84</f>
        <v>-95</v>
      </c>
      <c r="G84" s="397">
        <f>D84</f>
        <v>-375</v>
      </c>
      <c r="H84" s="23"/>
      <c r="I84" s="396">
        <f>IF(EDGE!$O$28=1,C84,0)</f>
        <v>-95</v>
      </c>
      <c r="J84" s="396">
        <f>IF(EDGE!$O$28=1,D84,0)</f>
        <v>-375</v>
      </c>
      <c r="K84" s="396"/>
      <c r="L84" s="396">
        <f>IF(EDGE!$O$28=1,F84,0)</f>
        <v>-95</v>
      </c>
      <c r="M84" s="397">
        <f>IF(EDGE!$O$28=1,G84,0)</f>
        <v>-375</v>
      </c>
      <c r="N84" s="77"/>
      <c r="O84" s="73">
        <f>EDGE!O19</f>
        <v>3</v>
      </c>
      <c r="P84" s="2"/>
      <c r="Q84" s="2"/>
    </row>
    <row r="85" spans="1:17">
      <c r="A85" s="77"/>
      <c r="B85" s="23" t="s">
        <v>151</v>
      </c>
      <c r="C85" s="285">
        <f>IF($O$84&gt;3,F87+O83,0)</f>
        <v>0</v>
      </c>
      <c r="D85" s="285">
        <f>C85</f>
        <v>0</v>
      </c>
      <c r="E85" s="285"/>
      <c r="F85" s="285">
        <f>IF($O$84&gt;4,C85+O83,0)</f>
        <v>0</v>
      </c>
      <c r="G85" s="398">
        <f>F85</f>
        <v>0</v>
      </c>
      <c r="H85" s="23"/>
      <c r="I85" s="285">
        <f>IF(EDGE!$O$28=1,C85,0)</f>
        <v>0</v>
      </c>
      <c r="J85" s="285">
        <f>IF(EDGE!$O$28=1,D85,0)</f>
        <v>0</v>
      </c>
      <c r="K85" s="285"/>
      <c r="L85" s="285">
        <f>IF(EDGE!$O$28=1,F85,0)</f>
        <v>0</v>
      </c>
      <c r="M85" s="398">
        <f>IF(EDGE!$O$28=1,G85,0)</f>
        <v>0</v>
      </c>
      <c r="N85" s="77"/>
      <c r="O85" s="2"/>
      <c r="P85" s="2"/>
      <c r="Q85" s="2"/>
    </row>
    <row r="86" spans="1:17">
      <c r="A86" s="77"/>
      <c r="B86" s="23"/>
      <c r="C86" s="396">
        <f>IF($O$84&gt;3,C84,0)</f>
        <v>0</v>
      </c>
      <c r="D86" s="396">
        <f>IF($O$84&gt;3,D84,0)</f>
        <v>0</v>
      </c>
      <c r="E86" s="396"/>
      <c r="F86" s="396">
        <f>IF($O$84&gt;4,F84,0)</f>
        <v>0</v>
      </c>
      <c r="G86" s="397">
        <f>IF($O$84&gt;4,G84,0)</f>
        <v>0</v>
      </c>
      <c r="H86" s="23"/>
      <c r="I86" s="396">
        <f>IF(EDGE!$O$28=1,C86,0)</f>
        <v>0</v>
      </c>
      <c r="J86" s="396">
        <f>IF(EDGE!$O$28=1,D86,0)</f>
        <v>0</v>
      </c>
      <c r="K86" s="396"/>
      <c r="L86" s="396">
        <f>IF(EDGE!$O$28=1,F86,0)</f>
        <v>0</v>
      </c>
      <c r="M86" s="397">
        <f>IF(EDGE!$O$28=1,G86,0)</f>
        <v>0</v>
      </c>
      <c r="N86" s="77"/>
      <c r="O86" s="2"/>
      <c r="P86" s="2"/>
      <c r="Q86" s="2"/>
    </row>
    <row r="87" spans="1:17">
      <c r="A87" s="77"/>
      <c r="B87" s="23" t="s">
        <v>175</v>
      </c>
      <c r="C87" s="285">
        <f>IF($O$84&gt;5,F85+O83,0)</f>
        <v>0</v>
      </c>
      <c r="D87" s="285">
        <f>C87</f>
        <v>0</v>
      </c>
      <c r="E87" s="285"/>
      <c r="F87" s="285">
        <f>C83+O83</f>
        <v>150</v>
      </c>
      <c r="G87" s="398">
        <f>F87</f>
        <v>150</v>
      </c>
      <c r="H87" s="23"/>
      <c r="I87" s="285">
        <f>IF(EDGE!$O$28=1,C87,0)</f>
        <v>0</v>
      </c>
      <c r="J87" s="285">
        <f>IF(EDGE!$O$28=1,D87,0)</f>
        <v>0</v>
      </c>
      <c r="K87" s="285"/>
      <c r="L87" s="285">
        <f>IF(EDGE!$O$28=1,F87,0)</f>
        <v>150</v>
      </c>
      <c r="M87" s="398">
        <f>IF(EDGE!$O$28=1,G87,0)</f>
        <v>150</v>
      </c>
      <c r="N87" s="77"/>
      <c r="O87" s="2"/>
      <c r="P87" s="2"/>
      <c r="Q87" s="2"/>
    </row>
    <row r="88" spans="1:17">
      <c r="A88" s="77"/>
      <c r="B88" s="25"/>
      <c r="C88" s="418">
        <f>IF($O$84&gt;5,C84,0)</f>
        <v>0</v>
      </c>
      <c r="D88" s="418">
        <f>IF($O$84&gt;5,D84,0)</f>
        <v>0</v>
      </c>
      <c r="E88" s="418"/>
      <c r="F88" s="418">
        <f>F84</f>
        <v>-95</v>
      </c>
      <c r="G88" s="419">
        <f>G84</f>
        <v>-375</v>
      </c>
      <c r="H88" s="426"/>
      <c r="I88" s="418">
        <f>IF(EDGE!$O$28=1,C88,0)</f>
        <v>0</v>
      </c>
      <c r="J88" s="418">
        <f>IF(EDGE!$O$28=1,D88,0)</f>
        <v>0</v>
      </c>
      <c r="K88" s="418"/>
      <c r="L88" s="418">
        <f>IF(EDGE!$O$28=1,F88,0)</f>
        <v>-95</v>
      </c>
      <c r="M88" s="419">
        <f>IF(EDGE!$O$28=1,G88,0)</f>
        <v>-375</v>
      </c>
      <c r="N88" s="77"/>
      <c r="O88" s="2"/>
      <c r="P88" s="2"/>
      <c r="Q88" s="2"/>
    </row>
    <row r="89" spans="1:17">
      <c r="A89" s="77"/>
      <c r="B89" s="23" t="s">
        <v>36</v>
      </c>
      <c r="C89" s="20">
        <f>C61-0.5*EDGE!G23</f>
        <v>-471.5</v>
      </c>
      <c r="D89" s="421">
        <f>G61+0.5*EDGE!G23</f>
        <v>771.5</v>
      </c>
      <c r="E89" s="111"/>
      <c r="F89" s="111"/>
      <c r="G89" s="111"/>
      <c r="H89" s="111"/>
      <c r="I89" s="77"/>
      <c r="J89" s="77"/>
      <c r="K89" s="77"/>
      <c r="L89" s="77"/>
      <c r="M89" s="77"/>
      <c r="N89" s="77"/>
      <c r="O89" s="2"/>
      <c r="P89" s="2"/>
      <c r="Q89" s="2"/>
    </row>
    <row r="90" spans="1:17">
      <c r="A90" s="77"/>
      <c r="B90" s="25"/>
      <c r="C90" s="22">
        <f>EDGE!E13+EDGE!E15</f>
        <v>1200</v>
      </c>
      <c r="D90" s="412">
        <f>C90</f>
        <v>1200</v>
      </c>
      <c r="E90" s="374"/>
      <c r="F90" s="374"/>
      <c r="G90" s="374"/>
      <c r="H90" s="111"/>
      <c r="I90" s="77"/>
      <c r="J90" s="77"/>
      <c r="K90" s="77"/>
      <c r="L90" s="77"/>
      <c r="M90" s="77"/>
      <c r="N90" s="77"/>
      <c r="O90" s="2"/>
      <c r="P90" s="2"/>
      <c r="Q90" s="2"/>
    </row>
    <row r="91" spans="1:17">
      <c r="A91" s="77"/>
      <c r="B91" s="100" t="s">
        <v>55</v>
      </c>
      <c r="C91" s="112">
        <f>EDGE!E12/2+EDGE!H12</f>
        <v>150</v>
      </c>
      <c r="D91" s="112">
        <f>C91</f>
        <v>150</v>
      </c>
      <c r="E91" s="112">
        <f>D91+EDGE!H15</f>
        <v>150</v>
      </c>
      <c r="F91" s="112">
        <f>E91</f>
        <v>150</v>
      </c>
      <c r="G91" s="407">
        <f>C91</f>
        <v>150</v>
      </c>
      <c r="H91" s="405"/>
      <c r="I91" s="112">
        <f>C91</f>
        <v>150</v>
      </c>
      <c r="J91" s="112">
        <f>E91</f>
        <v>150</v>
      </c>
      <c r="K91" s="406"/>
      <c r="L91" s="112">
        <f>D91</f>
        <v>150</v>
      </c>
      <c r="M91" s="407">
        <f>F91</f>
        <v>150</v>
      </c>
      <c r="N91" s="77"/>
      <c r="O91" s="2"/>
      <c r="P91" s="2"/>
      <c r="Q91" s="2"/>
    </row>
    <row r="92" spans="1:17">
      <c r="A92" s="77"/>
      <c r="B92" s="25"/>
      <c r="C92" s="22">
        <f>EDGE!E13/2+EDGE!H13</f>
        <v>600</v>
      </c>
      <c r="D92" s="22">
        <f>C92+EDGE!H14</f>
        <v>600</v>
      </c>
      <c r="E92" s="22">
        <f>D92</f>
        <v>600</v>
      </c>
      <c r="F92" s="22">
        <f>C92</f>
        <v>600</v>
      </c>
      <c r="G92" s="412">
        <f>C92</f>
        <v>600</v>
      </c>
      <c r="H92" s="410"/>
      <c r="I92" s="22">
        <f>C92</f>
        <v>600</v>
      </c>
      <c r="J92" s="22">
        <f>E92</f>
        <v>600</v>
      </c>
      <c r="K92" s="411"/>
      <c r="L92" s="22">
        <f>D92</f>
        <v>600</v>
      </c>
      <c r="M92" s="412">
        <f>F92</f>
        <v>600</v>
      </c>
      <c r="N92" s="77"/>
      <c r="O92" s="2"/>
      <c r="P92" s="2"/>
      <c r="Q92" s="2"/>
    </row>
    <row r="93" spans="1:17">
      <c r="A93" s="77"/>
      <c r="B93" s="100" t="s">
        <v>226</v>
      </c>
      <c r="C93" s="413">
        <f>C61/2+D69/2</f>
        <v>-356.24355652982143</v>
      </c>
      <c r="D93" s="413">
        <f>D61/2+C69/2</f>
        <v>-95</v>
      </c>
      <c r="E93" s="394"/>
      <c r="F93" s="413">
        <f>F61/2+F69/2</f>
        <v>395</v>
      </c>
      <c r="G93" s="414">
        <f>G61/2+G69/2</f>
        <v>656.24355652982149</v>
      </c>
      <c r="H93" s="394"/>
      <c r="I93" s="413">
        <f>C65/2+C71/2</f>
        <v>-50.629218543394956</v>
      </c>
      <c r="J93" s="413">
        <f>D65/2+D71/2</f>
        <v>-120.62921854339496</v>
      </c>
      <c r="K93" s="394"/>
      <c r="L93" s="415">
        <f>C65/2+F71/2</f>
        <v>350.62921854339493</v>
      </c>
      <c r="M93" s="416">
        <f>D65/2+G71/2</f>
        <v>420.62921854339493</v>
      </c>
      <c r="N93" s="429">
        <f>IF(OR(EDGE!O28+EDGE!R28&gt;0,EDGE!U35=0),0,1-EDGE!U35/EDGE!U29)</f>
        <v>0</v>
      </c>
      <c r="O93" s="2"/>
      <c r="P93" s="2"/>
      <c r="Q93" s="2"/>
    </row>
    <row r="94" spans="1:17">
      <c r="A94" s="77"/>
      <c r="B94" s="417"/>
      <c r="C94" s="415">
        <f>C62/2+D70/2</f>
        <v>459.27459202427087</v>
      </c>
      <c r="D94" s="415">
        <f>D62/2+C70/2</f>
        <v>529.27459202427087</v>
      </c>
      <c r="E94" s="415"/>
      <c r="F94" s="415">
        <f>F62/2+F70/2</f>
        <v>529.27459202427087</v>
      </c>
      <c r="G94" s="416">
        <f>G62/2+G70/2</f>
        <v>459.27459202427087</v>
      </c>
      <c r="H94" s="415"/>
      <c r="I94" s="415">
        <f>C66/2+C72/2</f>
        <v>-95</v>
      </c>
      <c r="J94" s="415">
        <f>D66/2+D72/2</f>
        <v>-356.24355652982143</v>
      </c>
      <c r="K94" s="415"/>
      <c r="L94" s="415">
        <f>C66/2+F72/2</f>
        <v>-95</v>
      </c>
      <c r="M94" s="416">
        <f>D66/2+G72/2</f>
        <v>-356.24355652982143</v>
      </c>
      <c r="N94" s="77"/>
      <c r="O94" s="2"/>
      <c r="P94" s="2"/>
      <c r="Q94" s="2"/>
    </row>
    <row r="95" spans="1:17">
      <c r="A95" s="77"/>
      <c r="B95" s="23"/>
      <c r="C95" s="285">
        <f>IF(D95=0,0,C93)</f>
        <v>0</v>
      </c>
      <c r="D95" s="285">
        <f>IF($N$93=0,0,D93-$N$93*(D93-C93))</f>
        <v>0</v>
      </c>
      <c r="E95" s="285"/>
      <c r="F95" s="285">
        <f>IF($N$93=0,0,F93-$N$93*(F93-G93))</f>
        <v>0</v>
      </c>
      <c r="G95" s="398">
        <f>IF(F95=0,0,G93)</f>
        <v>0</v>
      </c>
      <c r="H95" s="285"/>
      <c r="I95" s="285">
        <f>IF($N$93=0,0,I93-$N$93*(I93-J93))</f>
        <v>0</v>
      </c>
      <c r="J95" s="285">
        <f>IF(I95=0,0,J93)</f>
        <v>0</v>
      </c>
      <c r="K95" s="285"/>
      <c r="L95" s="285">
        <f>IF($N$93=0,0,L93-$N$93*(L93-M93))</f>
        <v>0</v>
      </c>
      <c r="M95" s="398">
        <f>IF(L95=0,0,M93)</f>
        <v>0</v>
      </c>
      <c r="N95" s="77"/>
      <c r="O95" s="2"/>
      <c r="P95" s="2"/>
      <c r="Q95" s="2"/>
    </row>
    <row r="96" spans="1:17">
      <c r="A96" s="77"/>
      <c r="B96" s="399"/>
      <c r="C96" s="400">
        <f>IF(D96=0,0,C94)</f>
        <v>0</v>
      </c>
      <c r="D96" s="400">
        <f>IF($N$93=0,0,D94-$N$93*(D94-C94))</f>
        <v>0</v>
      </c>
      <c r="E96" s="400"/>
      <c r="F96" s="400">
        <f>IF($N$93=0,0,F94-$N$93*(F94-G94))</f>
        <v>0</v>
      </c>
      <c r="G96" s="401">
        <f>IF(F96=0,0,G94)</f>
        <v>0</v>
      </c>
      <c r="H96" s="396"/>
      <c r="I96" s="396">
        <f>IF($N$93=0,0,I94-$N$93*(I94-J94))</f>
        <v>0</v>
      </c>
      <c r="J96" s="396">
        <f>IF(I96=0,0,J94)</f>
        <v>0</v>
      </c>
      <c r="K96" s="396"/>
      <c r="L96" s="396">
        <f>IF($N$93=0,0,L94-$N$93*(L94-M94))</f>
        <v>0</v>
      </c>
      <c r="M96" s="397">
        <f>IF(L96=0,0,M94)</f>
        <v>0</v>
      </c>
      <c r="N96" s="77"/>
      <c r="O96" s="2"/>
      <c r="P96" s="2"/>
      <c r="Q96" s="2"/>
    </row>
    <row r="97" spans="1:17">
      <c r="A97" s="77"/>
      <c r="B97" s="23"/>
      <c r="C97" s="415">
        <f>C69/2+C71/2</f>
        <v>-173.12921854339496</v>
      </c>
      <c r="D97" s="415">
        <f>D69/2+D71/2</f>
        <v>-364.37277507321642</v>
      </c>
      <c r="E97" s="415"/>
      <c r="F97" s="415">
        <f>F69/2+F71/2</f>
        <v>473.12921854339493</v>
      </c>
      <c r="G97" s="416">
        <f>G69/2+G71/2</f>
        <v>664.37277507321642</v>
      </c>
      <c r="H97" s="430"/>
      <c r="I97" s="431"/>
      <c r="J97" s="431"/>
      <c r="K97" s="431"/>
      <c r="L97" s="431"/>
      <c r="M97" s="431"/>
      <c r="N97" s="77"/>
      <c r="O97" s="2"/>
      <c r="P97" s="2"/>
      <c r="Q97" s="2"/>
    </row>
    <row r="98" spans="1:17">
      <c r="A98" s="77"/>
      <c r="B98" s="417"/>
      <c r="C98" s="415">
        <f>C70/2+C72/2</f>
        <v>181.77459202427085</v>
      </c>
      <c r="D98" s="415">
        <f>D70/2+D72/2</f>
        <v>-9.4689645055505878</v>
      </c>
      <c r="E98" s="415"/>
      <c r="F98" s="415">
        <f>F70/2+F72/2</f>
        <v>181.77459202427085</v>
      </c>
      <c r="G98" s="416">
        <f>G70/2+G72/2</f>
        <v>-9.4689645055505878</v>
      </c>
      <c r="H98" s="432"/>
      <c r="I98" s="433"/>
      <c r="J98" s="433"/>
      <c r="K98" s="433"/>
      <c r="L98" s="433"/>
      <c r="M98" s="433"/>
      <c r="N98" s="77"/>
      <c r="O98" s="2"/>
      <c r="P98" s="2"/>
      <c r="Q98" s="2"/>
    </row>
    <row r="99" spans="1:17">
      <c r="A99" s="77"/>
      <c r="B99" s="23"/>
      <c r="C99" s="285">
        <f>IF($N$93=0,0,C97-$N$93*(C97-D97))</f>
        <v>0</v>
      </c>
      <c r="D99" s="285">
        <f>IF(C99=0,0,D97)</f>
        <v>0</v>
      </c>
      <c r="E99" s="285"/>
      <c r="F99" s="285">
        <f>IF($N$93=0,0,F97-$N$93*(F97-G97))</f>
        <v>0</v>
      </c>
      <c r="G99" s="398">
        <f>IF(F99=0,0,G97)</f>
        <v>0</v>
      </c>
      <c r="H99" s="434"/>
      <c r="I99" s="223"/>
      <c r="J99" s="223"/>
      <c r="K99" s="223"/>
      <c r="L99" s="223"/>
      <c r="M99" s="223"/>
      <c r="N99" s="77"/>
      <c r="O99" s="2"/>
      <c r="P99" s="2"/>
      <c r="Q99" s="2"/>
    </row>
    <row r="100" spans="1:17">
      <c r="A100" s="77"/>
      <c r="B100" s="25"/>
      <c r="C100" s="418">
        <f>IF($N$93=0,0,C98-$N$93*(C98-D98))</f>
        <v>0</v>
      </c>
      <c r="D100" s="418">
        <f>IF(C100=0,0,D98)</f>
        <v>0</v>
      </c>
      <c r="E100" s="418"/>
      <c r="F100" s="418">
        <f>IF($N$93=0,0,F98-$N$93*(F98-G98))</f>
        <v>0</v>
      </c>
      <c r="G100" s="419">
        <f>IF(F100=0,0,G98)</f>
        <v>0</v>
      </c>
      <c r="H100" s="435"/>
      <c r="I100" s="224"/>
      <c r="J100" s="224"/>
      <c r="K100" s="224"/>
      <c r="L100" s="224"/>
      <c r="M100" s="224"/>
      <c r="N100" s="77"/>
      <c r="O100" s="2"/>
      <c r="P100" s="2"/>
      <c r="Q100" s="2"/>
    </row>
    <row r="101" spans="1:17">
      <c r="A101" s="77"/>
      <c r="B101" s="77"/>
      <c r="C101" s="77"/>
      <c r="D101" s="77"/>
      <c r="E101" s="77"/>
      <c r="F101" s="77"/>
      <c r="G101" s="77"/>
      <c r="H101" s="77"/>
      <c r="I101" s="77"/>
      <c r="J101" s="77"/>
      <c r="K101" s="77"/>
      <c r="L101" s="77"/>
      <c r="M101" s="77"/>
      <c r="N101" s="77"/>
      <c r="O101" s="2"/>
      <c r="P101" s="2"/>
      <c r="Q101" s="2"/>
    </row>
    <row r="102" spans="1:17" ht="18.75">
      <c r="A102" s="77"/>
      <c r="B102" s="437" t="s">
        <v>105</v>
      </c>
      <c r="C102" s="77"/>
      <c r="D102" s="77"/>
      <c r="E102" s="77"/>
      <c r="F102" s="77"/>
      <c r="G102" s="77"/>
      <c r="H102" s="77"/>
      <c r="I102" s="77"/>
      <c r="J102" s="77"/>
      <c r="K102" s="77"/>
      <c r="L102" s="77"/>
      <c r="M102" s="77"/>
      <c r="N102" s="77"/>
      <c r="O102" s="2"/>
      <c r="P102" s="2"/>
      <c r="Q102" s="2"/>
    </row>
    <row r="103" spans="1:17">
      <c r="A103" s="77"/>
      <c r="B103" s="78"/>
      <c r="C103" s="78" t="s">
        <v>124</v>
      </c>
      <c r="D103" s="235">
        <f>CORNER!P31</f>
        <v>450</v>
      </c>
      <c r="E103" s="78" t="s">
        <v>125</v>
      </c>
      <c r="F103" s="235">
        <f>CORNER!D34</f>
        <v>150</v>
      </c>
      <c r="G103" s="77"/>
      <c r="H103" s="77"/>
      <c r="I103" s="77"/>
      <c r="J103" s="77"/>
      <c r="K103" s="77"/>
      <c r="L103" s="77"/>
      <c r="M103" s="77"/>
      <c r="N103" s="77"/>
      <c r="O103" s="2"/>
      <c r="P103" s="2"/>
      <c r="Q103" s="2"/>
    </row>
    <row r="104" spans="1:17">
      <c r="A104" s="77"/>
      <c r="B104" s="388" t="s">
        <v>39</v>
      </c>
      <c r="C104" s="389">
        <v>0</v>
      </c>
      <c r="D104" s="389">
        <f>C104</f>
        <v>0</v>
      </c>
      <c r="E104" s="389">
        <f>CORNER!E12</f>
        <v>900</v>
      </c>
      <c r="F104" s="389">
        <f>E104</f>
        <v>900</v>
      </c>
      <c r="G104" s="390">
        <f>C104</f>
        <v>0</v>
      </c>
      <c r="H104" s="428"/>
      <c r="I104" s="137"/>
      <c r="J104" s="77"/>
      <c r="K104" s="77"/>
      <c r="L104" s="77"/>
      <c r="M104" s="77"/>
      <c r="N104" s="77"/>
      <c r="O104" s="2"/>
      <c r="P104" s="2"/>
      <c r="Q104" s="2"/>
    </row>
    <row r="105" spans="1:17">
      <c r="A105" s="77"/>
      <c r="B105" s="391"/>
      <c r="C105" s="392">
        <v>0</v>
      </c>
      <c r="D105" s="392">
        <f>CORNER!E13</f>
        <v>225</v>
      </c>
      <c r="E105" s="392">
        <f>D105</f>
        <v>225</v>
      </c>
      <c r="F105" s="392">
        <v>0</v>
      </c>
      <c r="G105" s="393">
        <f>C105</f>
        <v>0</v>
      </c>
      <c r="H105" s="428"/>
      <c r="I105" s="137"/>
      <c r="J105" s="77"/>
      <c r="K105" s="77"/>
      <c r="L105" s="77"/>
      <c r="M105" s="77"/>
      <c r="N105" s="77"/>
      <c r="O105" s="2"/>
      <c r="P105" s="2"/>
      <c r="Q105" s="2"/>
    </row>
    <row r="106" spans="1:17" ht="15.75">
      <c r="A106" s="77"/>
      <c r="B106" s="100" t="s">
        <v>126</v>
      </c>
      <c r="C106" s="394">
        <f>D106+D103</f>
        <v>1500</v>
      </c>
      <c r="D106" s="394">
        <f>CORNER!E12+F103</f>
        <v>1050</v>
      </c>
      <c r="E106" s="394"/>
      <c r="F106" s="394">
        <f>IF(MIN(CORNER!E13/2,CORNER!E13/2+CORNER!E15)&lt;CORNER!G22,0,C106)</f>
        <v>0</v>
      </c>
      <c r="G106" s="395">
        <f>IF(MIN(CORNER!E13/2,CORNER!E13/2+CORNER!E15)&lt;CORNER!G22,0,D106)</f>
        <v>0</v>
      </c>
      <c r="H106" s="100"/>
      <c r="I106" s="394">
        <f>IF(CORNER!$P$28=1,0,C106)</f>
        <v>0</v>
      </c>
      <c r="J106" s="394">
        <f>IF(CORNER!$P$28=1,0,D106)</f>
        <v>0</v>
      </c>
      <c r="K106" s="394"/>
      <c r="L106" s="394">
        <f>IF(CORNER!$P$28=1,0,F106)</f>
        <v>0</v>
      </c>
      <c r="M106" s="395">
        <f>IF(CORNER!$P$28=1,0,G106)</f>
        <v>0</v>
      </c>
      <c r="N106" s="427">
        <f>IF(ISNA(CORNER!P18),1,CORNER!P18-FLOOR(CORNER!P18,2))</f>
        <v>1</v>
      </c>
      <c r="O106" s="2"/>
      <c r="P106" s="2"/>
      <c r="Q106" s="2"/>
    </row>
    <row r="107" spans="1:17" ht="15.75">
      <c r="A107" s="77"/>
      <c r="B107" s="23"/>
      <c r="C107" s="396">
        <f>CORNER!E13/2</f>
        <v>112.5</v>
      </c>
      <c r="D107" s="396">
        <f>C107</f>
        <v>112.5</v>
      </c>
      <c r="E107" s="396"/>
      <c r="F107" s="396">
        <f>IF(MIN(CORNER!E13/2,CORNER!E13/2+CORNER!E15)&lt;CORNER!G22,0,CORNER!E13+CORNER!E15-30)</f>
        <v>0</v>
      </c>
      <c r="G107" s="397">
        <f>F107</f>
        <v>0</v>
      </c>
      <c r="H107" s="23"/>
      <c r="I107" s="396">
        <f>IF(CORNER!$P$28=1,0,C107)</f>
        <v>0</v>
      </c>
      <c r="J107" s="396">
        <f>IF(CORNER!$P$28=1,0,D107)</f>
        <v>0</v>
      </c>
      <c r="K107" s="396"/>
      <c r="L107" s="396">
        <f>IF(CORNER!$P$28=1,0,F107)</f>
        <v>0</v>
      </c>
      <c r="M107" s="397">
        <f>IF(CORNER!$P$28=1,0,G107)</f>
        <v>0</v>
      </c>
      <c r="N107" s="427">
        <f>IF(ISNA(CORNER!P19),1,CORNER!P19-FLOOR(CORNER!P19,2))</f>
        <v>0</v>
      </c>
      <c r="O107" s="2"/>
      <c r="P107" s="2"/>
      <c r="Q107" s="2"/>
    </row>
    <row r="108" spans="1:17">
      <c r="A108" s="77"/>
      <c r="B108" s="23" t="s">
        <v>127</v>
      </c>
      <c r="C108" s="285">
        <f>CORNER!E12/2</f>
        <v>450</v>
      </c>
      <c r="D108" s="285">
        <f>C108</f>
        <v>450</v>
      </c>
      <c r="E108" s="285"/>
      <c r="F108" s="285">
        <f>IF(MIN(CORNER!E12/2,CORNER!E12/2+CORNER!E14)&lt;CORNER!G22,0,30-CORNER!E14)</f>
        <v>30</v>
      </c>
      <c r="G108" s="398">
        <f>F108</f>
        <v>30</v>
      </c>
      <c r="H108" s="23"/>
      <c r="I108" s="285">
        <f>IF(CORNER!$P$28=1,0,C108)</f>
        <v>0</v>
      </c>
      <c r="J108" s="285">
        <f>IF(CORNER!$P$28=1,0,D108)</f>
        <v>0</v>
      </c>
      <c r="K108" s="285"/>
      <c r="L108" s="285">
        <f>IF(CORNER!$P$28=1,0,F108)</f>
        <v>0</v>
      </c>
      <c r="M108" s="398">
        <f>IF(CORNER!$P$28=1,0,G108)</f>
        <v>0</v>
      </c>
      <c r="N108" s="77"/>
      <c r="O108" s="386" t="s">
        <v>145</v>
      </c>
      <c r="P108" s="2"/>
      <c r="Q108" s="2"/>
    </row>
    <row r="109" spans="1:17">
      <c r="A109" s="77"/>
      <c r="B109" s="399"/>
      <c r="C109" s="400">
        <f>-F103</f>
        <v>-150</v>
      </c>
      <c r="D109" s="400">
        <f>C109-D103</f>
        <v>-600</v>
      </c>
      <c r="E109" s="400"/>
      <c r="F109" s="400">
        <f>IF(MIN(CORNER!E12/2,CORNER!E12/2+CORNER!E14)&lt;CORNER!G22,0,C109)</f>
        <v>-150</v>
      </c>
      <c r="G109" s="401">
        <f>IF(MIN(CORNER!E12/2,CORNER!E12/2+CORNER!E14)&lt;CORNER!G22,0,D109)</f>
        <v>-600</v>
      </c>
      <c r="H109" s="399"/>
      <c r="I109" s="400">
        <f>IF(CORNER!$P$28=1,0,C109)</f>
        <v>0</v>
      </c>
      <c r="J109" s="400">
        <f>IF(CORNER!$P$28=1,0,D109)</f>
        <v>0</v>
      </c>
      <c r="K109" s="400"/>
      <c r="L109" s="400">
        <f>IF(CORNER!$P$28=1,0,F109)</f>
        <v>0</v>
      </c>
      <c r="M109" s="401">
        <f>IF(CORNER!$P$28=1,0,G109)</f>
        <v>0</v>
      </c>
      <c r="N109" s="77"/>
      <c r="O109" s="9">
        <f>C126</f>
        <v>0</v>
      </c>
      <c r="P109" s="9">
        <f>G126</f>
        <v>1652.5</v>
      </c>
      <c r="Q109" s="3">
        <f>ABS(O109-P109)</f>
        <v>1652.5</v>
      </c>
    </row>
    <row r="110" spans="1:17">
      <c r="A110" s="77"/>
      <c r="B110" s="23" t="s">
        <v>166</v>
      </c>
      <c r="C110" s="285">
        <f>IF(CORNER!E12&gt;CORNER!E13,C108+CORNER!S9,D106)</f>
        <v>807.421875</v>
      </c>
      <c r="D110" s="285">
        <f>C110+D103/O1</f>
        <v>1125.6199265339465</v>
      </c>
      <c r="E110" s="285"/>
      <c r="F110" s="285"/>
      <c r="G110" s="398"/>
      <c r="H110" s="23"/>
      <c r="I110" s="285">
        <f>IF(AND(CORNER!$P$28=0,CORNER!$S$28=1),C110,0)</f>
        <v>0</v>
      </c>
      <c r="J110" s="285">
        <f>IF(AND(CORNER!$P$28=0,CORNER!$S$28=1),D110,0)</f>
        <v>0</v>
      </c>
      <c r="K110" s="285"/>
      <c r="L110" s="285"/>
      <c r="M110" s="398"/>
      <c r="N110" s="77"/>
      <c r="O110" s="9">
        <f>C127</f>
        <v>-752.5</v>
      </c>
      <c r="P110" s="9">
        <f>D127</f>
        <v>225</v>
      </c>
      <c r="Q110" s="3">
        <f>ABS(O110-P110)</f>
        <v>977.5</v>
      </c>
    </row>
    <row r="111" spans="1:17">
      <c r="A111" s="77"/>
      <c r="B111" s="23"/>
      <c r="C111" s="396">
        <f>IF(CORNER!E12&gt;CORNER!E13,C109,C107-CORNER!S9)</f>
        <v>-150</v>
      </c>
      <c r="D111" s="396">
        <f>C111-D103/O1</f>
        <v>-468.19805153394634</v>
      </c>
      <c r="E111" s="396"/>
      <c r="F111" s="396"/>
      <c r="G111" s="397"/>
      <c r="H111" s="23"/>
      <c r="I111" s="396">
        <f>IF(AND(CORNER!$P$28=0,CORNER!$S$28=1),C111,0)</f>
        <v>0</v>
      </c>
      <c r="J111" s="396">
        <f>IF(AND(CORNER!$P$28=0,CORNER!$S$28=1),D111,0)</f>
        <v>0</v>
      </c>
      <c r="K111" s="396"/>
      <c r="L111" s="396"/>
      <c r="M111" s="397"/>
      <c r="N111" s="77"/>
      <c r="O111" s="7">
        <f>O109+MAX(Q109:Q110)</f>
        <v>1652.5</v>
      </c>
      <c r="P111" s="2"/>
      <c r="Q111" s="2"/>
    </row>
    <row r="112" spans="1:17">
      <c r="A112" s="77"/>
      <c r="B112" s="23" t="s">
        <v>167</v>
      </c>
      <c r="C112" s="285">
        <f>D106</f>
        <v>1050</v>
      </c>
      <c r="D112" s="285">
        <f>C112+D103*O3</f>
        <v>1439.7114317029973</v>
      </c>
      <c r="E112" s="285"/>
      <c r="F112" s="285">
        <f>C108+CORNER!V9</f>
        <v>751.25139198390877</v>
      </c>
      <c r="G112" s="398">
        <f>F112+D103/2</f>
        <v>976.25139198390877</v>
      </c>
      <c r="H112" s="23"/>
      <c r="I112" s="285">
        <f>IF(CORNER!$P$28+CORNER!$S$28=0,C112,0)</f>
        <v>0</v>
      </c>
      <c r="J112" s="285">
        <f>IF(CORNER!$P$28+CORNER!$S$28=0,D112,0)</f>
        <v>0</v>
      </c>
      <c r="K112" s="285"/>
      <c r="L112" s="285">
        <f>IF(CORNER!$P$28+CORNER!$S$28=0,F112,0)</f>
        <v>0</v>
      </c>
      <c r="M112" s="398">
        <f>IF(CORNER!$P$28+CORNER!$S$28=0,G112,0)</f>
        <v>0</v>
      </c>
      <c r="N112" s="77"/>
      <c r="O112" s="7">
        <f>O110+MAX(Q109:Q110)</f>
        <v>900</v>
      </c>
      <c r="P112" s="2"/>
      <c r="Q112" s="2"/>
    </row>
    <row r="113" spans="1:17">
      <c r="A113" s="77"/>
      <c r="B113" s="399"/>
      <c r="C113" s="400">
        <f>C107-CORNER!V9</f>
        <v>-188.75139198390877</v>
      </c>
      <c r="D113" s="400">
        <f>C113-D103/2</f>
        <v>-413.75139198390877</v>
      </c>
      <c r="E113" s="400"/>
      <c r="F113" s="400">
        <f>C109</f>
        <v>-150</v>
      </c>
      <c r="G113" s="401">
        <f>F113-D103*O3</f>
        <v>-539.7114317029974</v>
      </c>
      <c r="H113" s="399"/>
      <c r="I113" s="400">
        <f>IF(CORNER!$P$28+CORNER!$S$28=0,C113,0)</f>
        <v>0</v>
      </c>
      <c r="J113" s="400">
        <f>IF(CORNER!$P$28+CORNER!$S$28=0,D113,0)</f>
        <v>0</v>
      </c>
      <c r="K113" s="400"/>
      <c r="L113" s="400">
        <f>IF(CORNER!$P$28+CORNER!$S$28=0,F113,0)</f>
        <v>0</v>
      </c>
      <c r="M113" s="401">
        <f>IF(CORNER!$P$28+CORNER!$S$28=0,G113,0)</f>
        <v>0</v>
      </c>
      <c r="N113" s="77"/>
      <c r="O113" s="2"/>
      <c r="P113" s="2"/>
      <c r="Q113" s="2"/>
    </row>
    <row r="114" spans="1:17" ht="15.75">
      <c r="A114" s="77"/>
      <c r="B114" s="23" t="s">
        <v>168</v>
      </c>
      <c r="C114" s="285">
        <f>C106</f>
        <v>1500</v>
      </c>
      <c r="D114" s="285">
        <f>D106</f>
        <v>1050</v>
      </c>
      <c r="E114" s="285"/>
      <c r="F114" s="285">
        <f>C114</f>
        <v>1500</v>
      </c>
      <c r="G114" s="398">
        <f>D114</f>
        <v>1050</v>
      </c>
      <c r="H114" s="23"/>
      <c r="I114" s="285">
        <f>IF(CORNER!$P$28=1,C114,0)</f>
        <v>1500</v>
      </c>
      <c r="J114" s="285">
        <f>IF(CORNER!$P$28=1,D114,0)</f>
        <v>1050</v>
      </c>
      <c r="K114" s="285"/>
      <c r="L114" s="285">
        <f>IF(CORNER!$P$28=1,F114,0)</f>
        <v>1500</v>
      </c>
      <c r="M114" s="398">
        <f>IF(CORNER!$P$28=1,G114,0)</f>
        <v>1050</v>
      </c>
      <c r="N114" s="77"/>
      <c r="O114" s="73">
        <f>CORNER!P21</f>
        <v>122</v>
      </c>
      <c r="P114" s="2"/>
      <c r="Q114" s="2"/>
    </row>
    <row r="115" spans="1:17" ht="15.75">
      <c r="A115" s="77"/>
      <c r="B115" s="23"/>
      <c r="C115" s="402">
        <f>-CORNER!$P$9</f>
        <v>-60</v>
      </c>
      <c r="D115" s="396">
        <f>C115</f>
        <v>-60</v>
      </c>
      <c r="E115" s="396"/>
      <c r="F115" s="396">
        <f>MIN(CORNER!E13-C115,CORNER!$E$13+CORNER!$E$15-40)</f>
        <v>185</v>
      </c>
      <c r="G115" s="397">
        <f>F115</f>
        <v>185</v>
      </c>
      <c r="H115" s="23"/>
      <c r="I115" s="402">
        <f>IF(CORNER!$P$28=1,C115,0)</f>
        <v>-60</v>
      </c>
      <c r="J115" s="396">
        <f>IF(CORNER!$P$28=1,D115,0)</f>
        <v>-60</v>
      </c>
      <c r="K115" s="396"/>
      <c r="L115" s="396">
        <f>IF(CORNER!$P$28=1,F115,0)</f>
        <v>185</v>
      </c>
      <c r="M115" s="397">
        <f>IF(CORNER!$P$28=1,G115,0)</f>
        <v>185</v>
      </c>
      <c r="N115" s="77"/>
      <c r="O115" s="73">
        <f>CORNER!P18</f>
        <v>3</v>
      </c>
      <c r="P115" s="2"/>
      <c r="Q115" s="2"/>
    </row>
    <row r="116" spans="1:17">
      <c r="A116" s="77"/>
      <c r="B116" s="23" t="s">
        <v>169</v>
      </c>
      <c r="C116" s="285">
        <f>IF($O$115&gt;3,C114,0)</f>
        <v>0</v>
      </c>
      <c r="D116" s="285">
        <f>IF($O$115&gt;3,D114,0)</f>
        <v>0</v>
      </c>
      <c r="E116" s="285"/>
      <c r="F116" s="285">
        <f>IF($O$115&gt;4,F114,0)</f>
        <v>0</v>
      </c>
      <c r="G116" s="398">
        <f>IF($O$115&gt;4,G114,0)</f>
        <v>0</v>
      </c>
      <c r="H116" s="23"/>
      <c r="I116" s="285">
        <f>IF(CORNER!$P$28=1,C116,0)</f>
        <v>0</v>
      </c>
      <c r="J116" s="285">
        <f>IF(CORNER!$P$28=1,D116,0)</f>
        <v>0</v>
      </c>
      <c r="K116" s="285"/>
      <c r="L116" s="285">
        <f>IF(CORNER!$P$28=1,F116,0)</f>
        <v>0</v>
      </c>
      <c r="M116" s="398">
        <f>IF(CORNER!$P$28=1,G116,0)</f>
        <v>0</v>
      </c>
      <c r="N116" s="77"/>
      <c r="O116" s="2"/>
      <c r="P116" s="2"/>
      <c r="Q116" s="2"/>
    </row>
    <row r="117" spans="1:17">
      <c r="A117" s="77"/>
      <c r="B117" s="23"/>
      <c r="C117" s="396">
        <f>IF($O$115&gt;3,F119+O114,0)</f>
        <v>0</v>
      </c>
      <c r="D117" s="396">
        <f>C117</f>
        <v>0</v>
      </c>
      <c r="E117" s="396"/>
      <c r="F117" s="396">
        <f>IF($O$115&gt;4,C117+O114,0)</f>
        <v>0</v>
      </c>
      <c r="G117" s="397">
        <f>F117</f>
        <v>0</v>
      </c>
      <c r="H117" s="23"/>
      <c r="I117" s="396">
        <f>IF(CORNER!$P$28=1,C117,0)</f>
        <v>0</v>
      </c>
      <c r="J117" s="396">
        <f>IF(CORNER!$P$28=1,D117,0)</f>
        <v>0</v>
      </c>
      <c r="K117" s="396"/>
      <c r="L117" s="396">
        <f>IF(CORNER!$P$28=1,F117,0)</f>
        <v>0</v>
      </c>
      <c r="M117" s="397">
        <f>IF(CORNER!$P$28=1,G117,0)</f>
        <v>0</v>
      </c>
      <c r="N117" s="77"/>
      <c r="O117" s="2"/>
      <c r="P117" s="2"/>
      <c r="Q117" s="2"/>
    </row>
    <row r="118" spans="1:17">
      <c r="A118" s="77"/>
      <c r="B118" s="23" t="s">
        <v>176</v>
      </c>
      <c r="C118" s="285">
        <f>IF($O$115&gt;5,C114,0)</f>
        <v>0</v>
      </c>
      <c r="D118" s="285">
        <f>IF($O$115&gt;5,D114,0)</f>
        <v>0</v>
      </c>
      <c r="E118" s="285"/>
      <c r="F118" s="285">
        <f>F114</f>
        <v>1500</v>
      </c>
      <c r="G118" s="398">
        <f>G114</f>
        <v>1050</v>
      </c>
      <c r="H118" s="23"/>
      <c r="I118" s="285">
        <f>IF(CORNER!$P$28=1,C118,0)</f>
        <v>0</v>
      </c>
      <c r="J118" s="285">
        <f>IF(CORNER!$P$28=1,D118,0)</f>
        <v>0</v>
      </c>
      <c r="K118" s="285"/>
      <c r="L118" s="285">
        <f>IF(CORNER!$P$28=1,F118,0)</f>
        <v>1500</v>
      </c>
      <c r="M118" s="398">
        <f>IF(CORNER!$P$28=1,G118,0)</f>
        <v>1050</v>
      </c>
      <c r="N118" s="77"/>
      <c r="O118" s="2"/>
      <c r="P118" s="2"/>
      <c r="Q118" s="2"/>
    </row>
    <row r="119" spans="1:17">
      <c r="A119" s="77"/>
      <c r="B119" s="399"/>
      <c r="C119" s="400">
        <f>IF($O$115&gt;5,F117+O114,0)</f>
        <v>0</v>
      </c>
      <c r="D119" s="400">
        <f>C119</f>
        <v>0</v>
      </c>
      <c r="E119" s="400"/>
      <c r="F119" s="400">
        <f>C115+O114</f>
        <v>62</v>
      </c>
      <c r="G119" s="401">
        <f>F119</f>
        <v>62</v>
      </c>
      <c r="H119" s="399"/>
      <c r="I119" s="400">
        <f>IF(CORNER!$P$28=1,C119,0)</f>
        <v>0</v>
      </c>
      <c r="J119" s="400">
        <f>IF(CORNER!$P$28=1,D119,0)</f>
        <v>0</v>
      </c>
      <c r="K119" s="400"/>
      <c r="L119" s="400">
        <f>IF(CORNER!$P$28=1,F119,0)</f>
        <v>62</v>
      </c>
      <c r="M119" s="401">
        <f>IF(CORNER!$P$28=1,G119,0)</f>
        <v>62</v>
      </c>
      <c r="N119" s="77"/>
      <c r="O119" s="2"/>
      <c r="P119" s="2"/>
      <c r="Q119" s="2"/>
    </row>
    <row r="120" spans="1:17" ht="15.75">
      <c r="A120" s="77"/>
      <c r="B120" s="422" t="s">
        <v>150</v>
      </c>
      <c r="C120" s="285">
        <f>MAX(C115,40-CORNER!$E$14)</f>
        <v>40</v>
      </c>
      <c r="D120" s="285">
        <f>C120</f>
        <v>40</v>
      </c>
      <c r="E120" s="285"/>
      <c r="F120" s="285">
        <f>CORNER!E12-C115</f>
        <v>960</v>
      </c>
      <c r="G120" s="398">
        <f>F120</f>
        <v>960</v>
      </c>
      <c r="H120" s="23"/>
      <c r="I120" s="285">
        <f>IF(CORNER!$P$28=1,C120,0)</f>
        <v>40</v>
      </c>
      <c r="J120" s="285">
        <f>IF(CORNER!$P$28=1,D120,0)</f>
        <v>40</v>
      </c>
      <c r="K120" s="285"/>
      <c r="L120" s="285">
        <f>IF(CORNER!$P$28=1,F120,0)</f>
        <v>960</v>
      </c>
      <c r="M120" s="398">
        <f>IF(CORNER!$P$28=1,G120,0)</f>
        <v>960</v>
      </c>
      <c r="N120" s="77"/>
      <c r="O120" s="73">
        <f>CORNER!P22</f>
        <v>306</v>
      </c>
      <c r="P120" s="2"/>
      <c r="Q120" s="2"/>
    </row>
    <row r="121" spans="1:17" ht="15.75">
      <c r="A121" s="77"/>
      <c r="B121" s="23"/>
      <c r="C121" s="396">
        <f>C109</f>
        <v>-150</v>
      </c>
      <c r="D121" s="396">
        <f>D109</f>
        <v>-600</v>
      </c>
      <c r="E121" s="396"/>
      <c r="F121" s="396">
        <f>C121</f>
        <v>-150</v>
      </c>
      <c r="G121" s="397">
        <f>D121</f>
        <v>-600</v>
      </c>
      <c r="H121" s="23"/>
      <c r="I121" s="402">
        <f>IF(CORNER!$P$28=1,C121,0)</f>
        <v>-150</v>
      </c>
      <c r="J121" s="396">
        <f>IF(CORNER!$P$28=1,D121,0)</f>
        <v>-600</v>
      </c>
      <c r="K121" s="396"/>
      <c r="L121" s="396">
        <f>IF(CORNER!$P$28=1,F121,0)</f>
        <v>-150</v>
      </c>
      <c r="M121" s="397">
        <f>IF(CORNER!$P$28=1,G121,0)</f>
        <v>-600</v>
      </c>
      <c r="N121" s="77"/>
      <c r="O121" s="73">
        <f>CORNER!P19</f>
        <v>4</v>
      </c>
      <c r="P121" s="2"/>
      <c r="Q121" s="2"/>
    </row>
    <row r="122" spans="1:17">
      <c r="A122" s="77"/>
      <c r="B122" s="23" t="s">
        <v>151</v>
      </c>
      <c r="C122" s="285">
        <f>IF($O$121&gt;3,F124+O120,0)</f>
        <v>652</v>
      </c>
      <c r="D122" s="285">
        <f>C122</f>
        <v>652</v>
      </c>
      <c r="E122" s="285"/>
      <c r="F122" s="285">
        <f>IF($O$121&gt;4,C122+O120,0)</f>
        <v>0</v>
      </c>
      <c r="G122" s="398">
        <f>F122</f>
        <v>0</v>
      </c>
      <c r="H122" s="23"/>
      <c r="I122" s="285">
        <f>IF(CORNER!$P$28=1,C122,0)</f>
        <v>652</v>
      </c>
      <c r="J122" s="285">
        <f>IF(CORNER!$P$28=1,D122,0)</f>
        <v>652</v>
      </c>
      <c r="K122" s="285"/>
      <c r="L122" s="285">
        <f>IF(CORNER!$P$28=1,F122,0)</f>
        <v>0</v>
      </c>
      <c r="M122" s="398">
        <f>IF(CORNER!$P$28=1,G122,0)</f>
        <v>0</v>
      </c>
      <c r="N122" s="77"/>
      <c r="O122" s="2"/>
      <c r="P122" s="2"/>
      <c r="Q122" s="2"/>
    </row>
    <row r="123" spans="1:17">
      <c r="A123" s="77"/>
      <c r="B123" s="23"/>
      <c r="C123" s="396">
        <f>IF($O$121&gt;3,C121,0)</f>
        <v>-150</v>
      </c>
      <c r="D123" s="396">
        <f>IF($O$121&gt;3,D121,0)</f>
        <v>-600</v>
      </c>
      <c r="E123" s="396"/>
      <c r="F123" s="396">
        <f>IF($O$121&gt;4,F121,0)</f>
        <v>0</v>
      </c>
      <c r="G123" s="397">
        <f>IF($O$121&gt;4,G121,0)</f>
        <v>0</v>
      </c>
      <c r="H123" s="23"/>
      <c r="I123" s="396">
        <f>IF(CORNER!$P$28=1,C123,0)</f>
        <v>-150</v>
      </c>
      <c r="J123" s="396">
        <f>IF(CORNER!$P$28=1,D123,0)</f>
        <v>-600</v>
      </c>
      <c r="K123" s="396"/>
      <c r="L123" s="396">
        <f>IF(CORNER!$P$28=1,F123,0)</f>
        <v>0</v>
      </c>
      <c r="M123" s="397">
        <f>IF(CORNER!$P$28=1,G123,0)</f>
        <v>0</v>
      </c>
      <c r="N123" s="77"/>
      <c r="O123" s="2"/>
      <c r="P123" s="2"/>
      <c r="Q123" s="2"/>
    </row>
    <row r="124" spans="1:17">
      <c r="A124" s="77"/>
      <c r="B124" s="23" t="s">
        <v>175</v>
      </c>
      <c r="C124" s="285">
        <f>IF($O$121&gt;5,F122+O120,0)</f>
        <v>0</v>
      </c>
      <c r="D124" s="285">
        <f>C124</f>
        <v>0</v>
      </c>
      <c r="E124" s="285"/>
      <c r="F124" s="285">
        <f>C120+O120</f>
        <v>346</v>
      </c>
      <c r="G124" s="398">
        <f>F124</f>
        <v>346</v>
      </c>
      <c r="H124" s="23"/>
      <c r="I124" s="285">
        <f>IF(CORNER!$P$28=1,C124,0)</f>
        <v>0</v>
      </c>
      <c r="J124" s="285">
        <f>IF(CORNER!$P$28=1,D124,0)</f>
        <v>0</v>
      </c>
      <c r="K124" s="285"/>
      <c r="L124" s="285">
        <f>IF(CORNER!$P$28=1,F124,0)</f>
        <v>346</v>
      </c>
      <c r="M124" s="398">
        <f>IF(CORNER!$P$28=1,G124,0)</f>
        <v>346</v>
      </c>
      <c r="N124" s="77"/>
      <c r="O124" s="2"/>
      <c r="P124" s="2"/>
      <c r="Q124" s="2"/>
    </row>
    <row r="125" spans="1:17">
      <c r="A125" s="77"/>
      <c r="B125" s="25"/>
      <c r="C125" s="418">
        <f>IF($O$121&gt;5,C121,0)</f>
        <v>0</v>
      </c>
      <c r="D125" s="418">
        <f>IF($O$121&gt;5,D121,0)</f>
        <v>0</v>
      </c>
      <c r="E125" s="418"/>
      <c r="F125" s="418">
        <f>F121</f>
        <v>-150</v>
      </c>
      <c r="G125" s="419">
        <f>G121</f>
        <v>-600</v>
      </c>
      <c r="H125" s="25"/>
      <c r="I125" s="418">
        <f>IF(CORNER!$P$28=1,C125,0)</f>
        <v>0</v>
      </c>
      <c r="J125" s="418">
        <f>IF(CORNER!$P$28=1,D125,0)</f>
        <v>0</v>
      </c>
      <c r="K125" s="418"/>
      <c r="L125" s="418">
        <f>IF(CORNER!$P$28=1,F125,0)</f>
        <v>-150</v>
      </c>
      <c r="M125" s="419">
        <f>IF(CORNER!$P$28=1,G125,0)</f>
        <v>-600</v>
      </c>
      <c r="N125" s="77"/>
      <c r="O125" s="2"/>
      <c r="P125" s="2"/>
      <c r="Q125" s="2"/>
    </row>
    <row r="126" spans="1:17">
      <c r="A126" s="77"/>
      <c r="B126" s="100" t="s">
        <v>85</v>
      </c>
      <c r="C126" s="112">
        <f>-CORNER!E14</f>
        <v>0</v>
      </c>
      <c r="D126" s="112">
        <f>C126</f>
        <v>0</v>
      </c>
      <c r="E126" s="112"/>
      <c r="F126" s="112">
        <f>D126</f>
        <v>0</v>
      </c>
      <c r="G126" s="407">
        <f>C106+0.5*CORNER!G22</f>
        <v>1652.5</v>
      </c>
      <c r="H126" s="111"/>
      <c r="I126" s="77"/>
      <c r="J126" s="77"/>
      <c r="K126" s="77"/>
      <c r="L126" s="77"/>
      <c r="M126" s="77"/>
      <c r="N126" s="77"/>
      <c r="O126" s="2"/>
      <c r="P126" s="2"/>
      <c r="Q126" s="2"/>
    </row>
    <row r="127" spans="1:17">
      <c r="A127" s="77"/>
      <c r="B127" s="25"/>
      <c r="C127" s="22">
        <f>D109-0.5*CORNER!G22</f>
        <v>-752.5</v>
      </c>
      <c r="D127" s="22">
        <f>CORNER!E13+CORNER!E15</f>
        <v>225</v>
      </c>
      <c r="E127" s="22"/>
      <c r="F127" s="22">
        <f>CORNER!E13+CORNER!E15</f>
        <v>225</v>
      </c>
      <c r="G127" s="412">
        <f>F127</f>
        <v>225</v>
      </c>
      <c r="H127" s="111"/>
      <c r="I127" s="77"/>
      <c r="J127" s="77"/>
      <c r="K127" s="77"/>
      <c r="L127" s="77"/>
      <c r="M127" s="77"/>
      <c r="N127" s="77"/>
      <c r="O127" s="2"/>
      <c r="P127" s="2"/>
      <c r="Q127" s="2"/>
    </row>
    <row r="128" spans="1:17">
      <c r="A128" s="77"/>
      <c r="B128" s="100" t="s">
        <v>55</v>
      </c>
      <c r="C128" s="112">
        <f>CORNER!E12/2+CORNER!H12</f>
        <v>450</v>
      </c>
      <c r="D128" s="112">
        <f>C128</f>
        <v>450</v>
      </c>
      <c r="E128" s="112">
        <f>D128+CORNER!H15</f>
        <v>450</v>
      </c>
      <c r="F128" s="112">
        <f>E128</f>
        <v>450</v>
      </c>
      <c r="G128" s="407">
        <f>C128</f>
        <v>450</v>
      </c>
      <c r="H128" s="405"/>
      <c r="I128" s="112">
        <f>C128</f>
        <v>450</v>
      </c>
      <c r="J128" s="112">
        <f>E128</f>
        <v>450</v>
      </c>
      <c r="K128" s="406"/>
      <c r="L128" s="112">
        <f>D128</f>
        <v>450</v>
      </c>
      <c r="M128" s="407">
        <f>F128</f>
        <v>450</v>
      </c>
      <c r="N128" s="77"/>
      <c r="O128" s="2"/>
      <c r="P128" s="2"/>
      <c r="Q128" s="2"/>
    </row>
    <row r="129" spans="1:17">
      <c r="A129" s="77"/>
      <c r="B129" s="25"/>
      <c r="C129" s="22">
        <f>CORNER!E13/2+CORNER!H13</f>
        <v>112.5</v>
      </c>
      <c r="D129" s="22">
        <f>C129+CORNER!H14</f>
        <v>112.5</v>
      </c>
      <c r="E129" s="22">
        <f>D129</f>
        <v>112.5</v>
      </c>
      <c r="F129" s="22">
        <f>C129</f>
        <v>112.5</v>
      </c>
      <c r="G129" s="412">
        <f>C129</f>
        <v>112.5</v>
      </c>
      <c r="H129" s="410"/>
      <c r="I129" s="22">
        <f>C129</f>
        <v>112.5</v>
      </c>
      <c r="J129" s="22">
        <f>E129</f>
        <v>112.5</v>
      </c>
      <c r="K129" s="411"/>
      <c r="L129" s="22">
        <f>D129</f>
        <v>112.5</v>
      </c>
      <c r="M129" s="412">
        <f>F129</f>
        <v>112.5</v>
      </c>
      <c r="N129" s="77"/>
      <c r="O129" s="2"/>
      <c r="P129" s="2"/>
      <c r="Q129" s="2"/>
    </row>
    <row r="130" spans="1:17">
      <c r="A130" s="77"/>
      <c r="B130" s="100" t="s">
        <v>226</v>
      </c>
      <c r="C130" s="413">
        <f>C106/2+D112/2</f>
        <v>1469.8557158514986</v>
      </c>
      <c r="D130" s="413">
        <f>D106/2+C112/2</f>
        <v>1050</v>
      </c>
      <c r="E130" s="394"/>
      <c r="F130" s="413">
        <f>C108/2+F112/2</f>
        <v>600.62569599195444</v>
      </c>
      <c r="G130" s="414">
        <f>D108/2+G112/2</f>
        <v>713.12569599195444</v>
      </c>
      <c r="H130" s="394"/>
      <c r="I130" s="413">
        <f>C112/2+F112/2</f>
        <v>900.62569599195444</v>
      </c>
      <c r="J130" s="413">
        <f>D112/2+G112/2</f>
        <v>1207.9814118434531</v>
      </c>
      <c r="K130" s="394"/>
      <c r="L130" s="413"/>
      <c r="M130" s="414"/>
      <c r="N130" s="429">
        <f>IF(OR(CORNER!P28+CORNER!S28&gt;0,CORNER!V35=0),0,1-CORNER!V35/CORNER!V29)</f>
        <v>0</v>
      </c>
      <c r="O130" s="2"/>
      <c r="P130" s="2"/>
      <c r="Q130" s="2"/>
    </row>
    <row r="131" spans="1:17">
      <c r="A131" s="77"/>
      <c r="B131" s="417"/>
      <c r="C131" s="415">
        <f>C107/2+D113/2</f>
        <v>-150.62569599195439</v>
      </c>
      <c r="D131" s="415">
        <f>D107/2+C113/2</f>
        <v>-38.125695991954387</v>
      </c>
      <c r="E131" s="415"/>
      <c r="F131" s="415">
        <f>C109/2+F113/2</f>
        <v>-150</v>
      </c>
      <c r="G131" s="416">
        <f>D109/2+G113/2</f>
        <v>-569.85571585149864</v>
      </c>
      <c r="H131" s="415"/>
      <c r="I131" s="415">
        <f>C113/2+F113/2</f>
        <v>-169.37569599195439</v>
      </c>
      <c r="J131" s="415">
        <f>D113/2+G113/2</f>
        <v>-476.73141184345309</v>
      </c>
      <c r="K131" s="415"/>
      <c r="L131" s="415"/>
      <c r="M131" s="416"/>
      <c r="N131" s="77"/>
      <c r="O131" s="2"/>
      <c r="P131" s="2"/>
      <c r="Q131" s="2"/>
    </row>
    <row r="132" spans="1:17">
      <c r="A132" s="77"/>
      <c r="B132" s="23"/>
      <c r="C132" s="285">
        <f>IF(D132=0,0,C130)</f>
        <v>0</v>
      </c>
      <c r="D132" s="285">
        <f>IF($N$130=0,0,D130-$N$130*(D130-C130))</f>
        <v>0</v>
      </c>
      <c r="E132" s="285"/>
      <c r="F132" s="285">
        <f>IF($N$130=0,0,F130-$N$130*(F130-G130))</f>
        <v>0</v>
      </c>
      <c r="G132" s="398">
        <f>IF(F132=0,0,G130)</f>
        <v>0</v>
      </c>
      <c r="H132" s="285"/>
      <c r="I132" s="285">
        <f>IF($N$130=0,0,I130-$N$130*(I130-J130))</f>
        <v>0</v>
      </c>
      <c r="J132" s="285">
        <f>IF(I132=0,0,J130)</f>
        <v>0</v>
      </c>
      <c r="K132" s="285"/>
      <c r="L132" s="285"/>
      <c r="M132" s="398"/>
      <c r="N132" s="77"/>
      <c r="O132" s="2"/>
      <c r="P132" s="2"/>
      <c r="Q132" s="2"/>
    </row>
    <row r="133" spans="1:17">
      <c r="A133" s="77"/>
      <c r="B133" s="25"/>
      <c r="C133" s="418">
        <f>IF(D133=0,0,C131)</f>
        <v>0</v>
      </c>
      <c r="D133" s="418">
        <f>IF($N$130=0,0,D131-$N$130*(D131-C131))</f>
        <v>0</v>
      </c>
      <c r="E133" s="418"/>
      <c r="F133" s="418">
        <f>IF($N$130=0,0,F131-$N$130*(F131-G131))</f>
        <v>0</v>
      </c>
      <c r="G133" s="419">
        <f>IF(F133=0,0,G131)</f>
        <v>0</v>
      </c>
      <c r="H133" s="418"/>
      <c r="I133" s="418">
        <f>IF($N$130=0,0,I131-$N$130*(I131-J131))</f>
        <v>0</v>
      </c>
      <c r="J133" s="418">
        <f>IF(I133=0,0,J131)</f>
        <v>0</v>
      </c>
      <c r="K133" s="418"/>
      <c r="L133" s="418"/>
      <c r="M133" s="419"/>
      <c r="N133" s="77"/>
      <c r="O133" s="2"/>
      <c r="P133" s="2"/>
      <c r="Q133" s="2"/>
    </row>
    <row r="134" spans="1:17">
      <c r="A134" s="77"/>
      <c r="B134" s="77"/>
      <c r="C134" s="77"/>
      <c r="D134" s="77"/>
      <c r="E134" s="77"/>
      <c r="F134" s="77"/>
      <c r="G134" s="77"/>
      <c r="H134" s="77"/>
      <c r="I134" s="77"/>
      <c r="J134" s="77"/>
      <c r="K134" s="77"/>
      <c r="L134" s="77"/>
      <c r="M134" s="77"/>
      <c r="N134" s="77"/>
      <c r="O134" s="77"/>
      <c r="P134" s="77"/>
      <c r="Q134" s="2"/>
    </row>
    <row r="135" spans="1:17" ht="18.75">
      <c r="A135" s="77"/>
      <c r="B135" s="437" t="s">
        <v>106</v>
      </c>
      <c r="C135" s="77"/>
      <c r="D135" s="77"/>
      <c r="E135" s="77"/>
      <c r="F135" s="77"/>
      <c r="G135" s="77"/>
      <c r="H135" s="77"/>
      <c r="I135" s="77"/>
      <c r="J135" s="77"/>
      <c r="K135" s="77"/>
      <c r="L135" s="77"/>
      <c r="M135" s="77"/>
      <c r="N135" s="77"/>
      <c r="O135" s="77"/>
      <c r="P135" s="77"/>
      <c r="Q135" s="2"/>
    </row>
    <row r="136" spans="1:17">
      <c r="A136" s="77"/>
      <c r="B136" s="78"/>
      <c r="C136" s="78" t="s">
        <v>124</v>
      </c>
      <c r="D136" s="235">
        <f>REENTRANT!O31</f>
        <v>270</v>
      </c>
      <c r="E136" s="78" t="s">
        <v>125</v>
      </c>
      <c r="F136" s="235">
        <f>REENTRANT!D34</f>
        <v>90</v>
      </c>
      <c r="G136" s="77"/>
      <c r="H136" s="77"/>
      <c r="I136" s="77"/>
      <c r="J136" s="77"/>
      <c r="K136" s="77"/>
      <c r="L136" s="77"/>
      <c r="M136" s="77"/>
      <c r="N136" s="77"/>
      <c r="O136" s="77"/>
      <c r="P136" s="77"/>
      <c r="Q136" s="2"/>
    </row>
    <row r="137" spans="1:17">
      <c r="A137" s="77"/>
      <c r="B137" s="388" t="s">
        <v>39</v>
      </c>
      <c r="C137" s="389">
        <v>0</v>
      </c>
      <c r="D137" s="389">
        <f>C137</f>
        <v>0</v>
      </c>
      <c r="E137" s="389">
        <f>REENTRANT!E12</f>
        <v>700</v>
      </c>
      <c r="F137" s="389">
        <f>E137</f>
        <v>700</v>
      </c>
      <c r="G137" s="390">
        <f>C137</f>
        <v>0</v>
      </c>
      <c r="H137" s="428"/>
      <c r="I137" s="137"/>
      <c r="J137" s="77"/>
      <c r="K137" s="77"/>
      <c r="L137" s="77"/>
      <c r="M137" s="77"/>
      <c r="N137" s="77"/>
      <c r="O137" s="77"/>
      <c r="P137" s="77"/>
      <c r="Q137" s="2"/>
    </row>
    <row r="138" spans="1:17">
      <c r="A138" s="77"/>
      <c r="B138" s="391"/>
      <c r="C138" s="392">
        <v>0</v>
      </c>
      <c r="D138" s="392">
        <f>REENTRANT!E13</f>
        <v>225</v>
      </c>
      <c r="E138" s="392">
        <f>D138</f>
        <v>225</v>
      </c>
      <c r="F138" s="392">
        <v>0</v>
      </c>
      <c r="G138" s="393">
        <f>C138</f>
        <v>0</v>
      </c>
      <c r="H138" s="428"/>
      <c r="I138" s="137"/>
      <c r="J138" s="77"/>
      <c r="K138" s="77"/>
      <c r="L138" s="77"/>
      <c r="M138" s="77"/>
      <c r="N138" s="77"/>
      <c r="O138" s="77"/>
      <c r="P138" s="77"/>
      <c r="Q138" s="2"/>
    </row>
    <row r="139" spans="1:17" ht="15.75">
      <c r="A139" s="77"/>
      <c r="B139" s="100" t="s">
        <v>148</v>
      </c>
      <c r="C139" s="394">
        <f>D139+D136</f>
        <v>1060</v>
      </c>
      <c r="D139" s="394">
        <f>REENTRANT!E12+F136</f>
        <v>790</v>
      </c>
      <c r="E139" s="394"/>
      <c r="F139" s="340">
        <f>G139-D136</f>
        <v>-360</v>
      </c>
      <c r="G139" s="395">
        <f>-F136</f>
        <v>-90</v>
      </c>
      <c r="H139" s="100"/>
      <c r="I139" s="394">
        <f>IF(REENTRANT!$O$28=1,0,C139)</f>
        <v>0</v>
      </c>
      <c r="J139" s="394">
        <f>IF(REENTRANT!$O$28=1,0,D139)</f>
        <v>0</v>
      </c>
      <c r="K139" s="394"/>
      <c r="L139" s="394">
        <f>IF(REENTRANT!$O$28=1,0,F139)</f>
        <v>0</v>
      </c>
      <c r="M139" s="395">
        <f>IF(REENTRANT!$O$28=1,0,G139)</f>
        <v>0</v>
      </c>
      <c r="N139" s="427">
        <f>IF(ISNA(REENTRANT!O18),1,REENTRANT!O18-FLOOR(REENTRANT!O18,2))</f>
        <v>1</v>
      </c>
      <c r="O139" s="77"/>
      <c r="P139" s="77"/>
      <c r="Q139" s="2"/>
    </row>
    <row r="140" spans="1:17" ht="15.75">
      <c r="A140" s="77"/>
      <c r="B140" s="23"/>
      <c r="C140" s="396">
        <f>REENTRANT!E13/2</f>
        <v>112.5</v>
      </c>
      <c r="D140" s="396">
        <f>C140</f>
        <v>112.5</v>
      </c>
      <c r="E140" s="396"/>
      <c r="F140" s="396">
        <f>MIN(C140,REENTRANT!E13+REENTRANT!E15-40)</f>
        <v>112.5</v>
      </c>
      <c r="G140" s="397">
        <f>F140</f>
        <v>112.5</v>
      </c>
      <c r="H140" s="23"/>
      <c r="I140" s="396">
        <f>IF(REENTRANT!$O$28=1,0,C140)</f>
        <v>0</v>
      </c>
      <c r="J140" s="396">
        <f>IF(REENTRANT!$O$28=1,0,D140)</f>
        <v>0</v>
      </c>
      <c r="K140" s="396"/>
      <c r="L140" s="396">
        <f>IF(REENTRANT!$O$28=1,0,F140)</f>
        <v>0</v>
      </c>
      <c r="M140" s="397">
        <f>IF(REENTRANT!$O$28=1,0,G140)</f>
        <v>0</v>
      </c>
      <c r="N140" s="427">
        <f>IF(ISNA(REENTRANT!O19),1,REENTRANT!O19-FLOOR(REENTRANT!O19,2))</f>
        <v>0</v>
      </c>
      <c r="O140" s="387" t="s">
        <v>145</v>
      </c>
      <c r="P140" s="77"/>
      <c r="Q140" s="2"/>
    </row>
    <row r="141" spans="1:17">
      <c r="A141" s="77"/>
      <c r="B141" s="23" t="s">
        <v>170</v>
      </c>
      <c r="C141" s="285">
        <f>IF(MIN(REENTRANT!$E$12/2,REENTRANT!$E$12/2+REENTRANT!$E$14)&lt;REENTRANT!$G$22,0,30-REENTRANT!E14)</f>
        <v>180</v>
      </c>
      <c r="D141" s="285">
        <f>C141</f>
        <v>180</v>
      </c>
      <c r="E141" s="396"/>
      <c r="F141" s="285">
        <f>IF(MIN(REENTRANT!$E$13/2,REENTRANT!$E$13/2+REENTRANT!$E$15)&lt;REENTRANT!$G$22,0,F139)</f>
        <v>0</v>
      </c>
      <c r="G141" s="398">
        <f>IF(MIN(REENTRANT!$E$13/2,REENTRANT!$E$13/2+REENTRANT!$E$15)&lt;REENTRANT!$G$22,0,G139)</f>
        <v>0</v>
      </c>
      <c r="H141" s="23"/>
      <c r="I141" s="285">
        <f>IF(REENTRANT!$O$28=1,0,C141)</f>
        <v>0</v>
      </c>
      <c r="J141" s="285">
        <f>IF(REENTRANT!$O$28=1,0,D141)</f>
        <v>0</v>
      </c>
      <c r="K141" s="285"/>
      <c r="L141" s="285">
        <f>IF(REENTRANT!$O$28=1,0,F141)</f>
        <v>0</v>
      </c>
      <c r="M141" s="398">
        <f>IF(REENTRANT!$O$28=1,0,G141)</f>
        <v>0</v>
      </c>
      <c r="N141" s="77"/>
      <c r="O141" s="142">
        <f>F175</f>
        <v>-450</v>
      </c>
      <c r="P141" s="142">
        <f>C139</f>
        <v>1060</v>
      </c>
      <c r="Q141" s="3">
        <f>ABS(O141-P141)</f>
        <v>1510</v>
      </c>
    </row>
    <row r="142" spans="1:17">
      <c r="A142" s="77"/>
      <c r="B142" s="23"/>
      <c r="C142" s="396">
        <f>IF(MIN(REENTRANT!$E$12/2,REENTRANT!$E$12/2+REENTRANT!$E$14)&lt;REENTRANT!$G$22,0,F144)</f>
        <v>315</v>
      </c>
      <c r="D142" s="396">
        <f>IF(MIN(REENTRANT!$E$12/2,REENTRANT!$E$12/2+REENTRANT!$E$14)&lt;REENTRANT!$G$22,0,G144)</f>
        <v>585</v>
      </c>
      <c r="E142" s="396"/>
      <c r="F142" s="396">
        <f>IF(MIN(REENTRANT!$E$13/2,REENTRANT!$E$13/2+REENTRANT!$E$15)&lt;REENTRANT!$G$22,0,REENTRANT!E13+REENTRANT!E15-30)</f>
        <v>0</v>
      </c>
      <c r="G142" s="397">
        <f>F142</f>
        <v>0</v>
      </c>
      <c r="H142" s="23"/>
      <c r="I142" s="396">
        <f>IF(REENTRANT!$O$28=1,0,C142)</f>
        <v>0</v>
      </c>
      <c r="J142" s="396">
        <f>IF(REENTRANT!$O$28=1,0,D142)</f>
        <v>0</v>
      </c>
      <c r="K142" s="396"/>
      <c r="L142" s="396">
        <f>IF(REENTRANT!$O$28=1,0,F142)</f>
        <v>0</v>
      </c>
      <c r="M142" s="397">
        <f>IF(REENTRANT!$O$28=1,0,G142)</f>
        <v>0</v>
      </c>
      <c r="N142" s="77"/>
      <c r="O142" s="142">
        <f>D144</f>
        <v>-360</v>
      </c>
      <c r="P142" s="142">
        <f>D176</f>
        <v>675</v>
      </c>
      <c r="Q142" s="3">
        <f>ABS(O142-P142)</f>
        <v>1035</v>
      </c>
    </row>
    <row r="143" spans="1:17">
      <c r="A143" s="77"/>
      <c r="B143" s="23" t="s">
        <v>127</v>
      </c>
      <c r="C143" s="285">
        <f>REENTRANT!E12/2</f>
        <v>350</v>
      </c>
      <c r="D143" s="285">
        <f>C143</f>
        <v>350</v>
      </c>
      <c r="E143" s="285"/>
      <c r="F143" s="285">
        <f>C143</f>
        <v>350</v>
      </c>
      <c r="G143" s="398">
        <f>F143</f>
        <v>350</v>
      </c>
      <c r="H143" s="23"/>
      <c r="I143" s="285">
        <f>IF(REENTRANT!$O$28=1,0,C143)</f>
        <v>0</v>
      </c>
      <c r="J143" s="285">
        <f>IF(REENTRANT!$O$28=1,0,D143)</f>
        <v>0</v>
      </c>
      <c r="K143" s="285"/>
      <c r="L143" s="285">
        <f>IF(REENTRANT!$O$28=1,0,MAX(F143,IF(REENTRANT!$E$14&gt;0,0,REENTRANT!E14-40)))</f>
        <v>0</v>
      </c>
      <c r="M143" s="398">
        <f>L143</f>
        <v>0</v>
      </c>
      <c r="N143" s="77"/>
      <c r="O143" s="111">
        <f>O141+MAX(Q141:Q142)</f>
        <v>1060</v>
      </c>
      <c r="P143" s="77"/>
      <c r="Q143" s="2"/>
    </row>
    <row r="144" spans="1:17">
      <c r="A144" s="77"/>
      <c r="B144" s="399"/>
      <c r="C144" s="400">
        <f>-F136</f>
        <v>-90</v>
      </c>
      <c r="D144" s="400">
        <f>C144-D136</f>
        <v>-360</v>
      </c>
      <c r="E144" s="400"/>
      <c r="F144" s="400">
        <f>REENTRANT!E13+F136</f>
        <v>315</v>
      </c>
      <c r="G144" s="401">
        <f>F144+D136</f>
        <v>585</v>
      </c>
      <c r="H144" s="399"/>
      <c r="I144" s="400">
        <f>IF(REENTRANT!$O$28=1,0,C144)</f>
        <v>0</v>
      </c>
      <c r="J144" s="400">
        <f>IF(REENTRANT!$O$28=1,0,D144)</f>
        <v>0</v>
      </c>
      <c r="K144" s="400"/>
      <c r="L144" s="400">
        <f>IF(REENTRANT!$O$28=1,0,F144)</f>
        <v>0</v>
      </c>
      <c r="M144" s="401">
        <f>IF(REENTRANT!$O$28=1,0,G144)</f>
        <v>0</v>
      </c>
      <c r="N144" s="77"/>
      <c r="O144" s="111">
        <f>O142+MAX(Q141:Q142)</f>
        <v>1150</v>
      </c>
      <c r="P144" s="77"/>
      <c r="Q144" s="2"/>
    </row>
    <row r="145" spans="1:18">
      <c r="A145" s="77"/>
      <c r="B145" s="23" t="s">
        <v>171</v>
      </c>
      <c r="C145" s="285">
        <f>IF(REENTRANT!$E$12&gt;REENTRANT!$E$13,REENTRANT!E12/2+REENTRANT!R9,D139)</f>
        <v>616.59801136363637</v>
      </c>
      <c r="D145" s="285">
        <f>C145+D136/$O$1</f>
        <v>807.51684228400416</v>
      </c>
      <c r="E145" s="285"/>
      <c r="F145" s="285"/>
      <c r="G145" s="398"/>
      <c r="H145" s="285"/>
      <c r="I145" s="285">
        <f>IF(AND(REENTRANT!$R$28=1,REENTRANT!$O$28=0),C145,0)</f>
        <v>0</v>
      </c>
      <c r="J145" s="285">
        <f>IF(AND(REENTRANT!$R$28=1,REENTRANT!$O$28=0),D145,0)</f>
        <v>0</v>
      </c>
      <c r="K145" s="285"/>
      <c r="L145" s="285">
        <f>IF(AND(REENTRANT!$R$28=1,REENTRANT!$O$28=0),F145,0)</f>
        <v>0</v>
      </c>
      <c r="M145" s="398">
        <f>IF(AND(REENTRANT!$R$28=1,REENTRANT!$O$28=0),G145,0)</f>
        <v>0</v>
      </c>
      <c r="N145" s="77"/>
      <c r="O145" s="77"/>
      <c r="P145" s="77"/>
      <c r="Q145" s="2"/>
    </row>
    <row r="146" spans="1:18">
      <c r="A146" s="77"/>
      <c r="B146" s="23"/>
      <c r="C146" s="396">
        <f>IF(REENTRANT!$E$12&gt;REENTRANT!$E$13,F144,REENTRANT!E13/2+REENTRANT!R9)</f>
        <v>315</v>
      </c>
      <c r="D146" s="396">
        <f>C146+D136/$O$1</f>
        <v>505.91883092036778</v>
      </c>
      <c r="E146" s="396"/>
      <c r="F146" s="396"/>
      <c r="G146" s="397"/>
      <c r="H146" s="396"/>
      <c r="I146" s="396">
        <f>IF(AND(REENTRANT!$R$28=1,REENTRANT!$O$28=0),C146,0)</f>
        <v>0</v>
      </c>
      <c r="J146" s="396">
        <f>IF(AND(REENTRANT!$R$28=1,REENTRANT!$O$28=0),D146,0)</f>
        <v>0</v>
      </c>
      <c r="K146" s="396"/>
      <c r="L146" s="396">
        <f>IF(AND(REENTRANT!$R$28=1,REENTRANT!$O$28=0),F146,0)</f>
        <v>0</v>
      </c>
      <c r="M146" s="397">
        <f>IF(AND(REENTRANT!$R$28=1,REENTRANT!$O$28=0),G146,0)</f>
        <v>0</v>
      </c>
      <c r="N146" s="77"/>
      <c r="O146" s="77"/>
      <c r="P146" s="77"/>
      <c r="Q146" s="2"/>
    </row>
    <row r="147" spans="1:18">
      <c r="A147" s="77"/>
      <c r="B147" s="23" t="s">
        <v>129</v>
      </c>
      <c r="C147" s="285">
        <f>C145</f>
        <v>616.59801136363637</v>
      </c>
      <c r="D147" s="285">
        <f>C147+D136/$O$1</f>
        <v>807.51684228400416</v>
      </c>
      <c r="E147" s="285"/>
      <c r="F147" s="285">
        <f>IF(REENTRANT!$E$12&gt;REENTRANT!$E$13,REENTRANT!E12/2-REENTRANT!R9,G139)</f>
        <v>83.401988636363626</v>
      </c>
      <c r="G147" s="398">
        <f>F147-D136/$O$1</f>
        <v>-107.51684228400418</v>
      </c>
      <c r="H147" s="285"/>
      <c r="I147" s="285">
        <f>IF(AND(REENTRANT!$R$28=1,REENTRANT!$O$28=0),C147,0)</f>
        <v>0</v>
      </c>
      <c r="J147" s="285">
        <f>IF(AND(REENTRANT!$R$28=1,REENTRANT!$O$28=0),D147,0)</f>
        <v>0</v>
      </c>
      <c r="K147" s="285"/>
      <c r="L147" s="285">
        <f>IF(AND(REENTRANT!$R$28=1,REENTRANT!$O$28=0),F147,0)</f>
        <v>0</v>
      </c>
      <c r="M147" s="398">
        <f>IF(AND(REENTRANT!$R$28=1,REENTRANT!$O$28=0),G147,0)</f>
        <v>0</v>
      </c>
      <c r="N147" s="77"/>
      <c r="O147" s="77"/>
      <c r="P147" s="77"/>
      <c r="Q147" s="2"/>
    </row>
    <row r="148" spans="1:18">
      <c r="A148" s="77"/>
      <c r="B148" s="399"/>
      <c r="C148" s="400">
        <f>IF(REENTRANT!$E$12&gt;REENTRANT!$E$13,C144,REENTRANT!E13/2-REENTRANT!R9)</f>
        <v>-90</v>
      </c>
      <c r="D148" s="400">
        <f>C148-D136/$O$1</f>
        <v>-280.91883092036778</v>
      </c>
      <c r="E148" s="400"/>
      <c r="F148" s="400">
        <f>C148</f>
        <v>-90</v>
      </c>
      <c r="G148" s="401">
        <f>D148</f>
        <v>-280.91883092036778</v>
      </c>
      <c r="H148" s="400"/>
      <c r="I148" s="400">
        <f>IF(AND(REENTRANT!$R$28=1,REENTRANT!$O$28=0),C148,0)</f>
        <v>0</v>
      </c>
      <c r="J148" s="400">
        <f>IF(AND(REENTRANT!$R$28=1,REENTRANT!$O$28=0),D148,0)</f>
        <v>0</v>
      </c>
      <c r="K148" s="400"/>
      <c r="L148" s="400">
        <f>IF(AND(REENTRANT!$R$28=1,REENTRANT!$O$28=0),F148,0)</f>
        <v>0</v>
      </c>
      <c r="M148" s="401">
        <f>IF(AND(REENTRANT!$R$28=1,REENTRANT!$O$28=0),G148,0)</f>
        <v>0</v>
      </c>
      <c r="N148" s="77"/>
      <c r="O148" s="77"/>
      <c r="P148" s="77"/>
      <c r="Q148" s="2"/>
    </row>
    <row r="149" spans="1:18">
      <c r="A149" s="77"/>
      <c r="B149" s="23" t="s">
        <v>172</v>
      </c>
      <c r="C149" s="285">
        <f>C143+REENTRANT!U9</f>
        <v>570.36258161589126</v>
      </c>
      <c r="D149" s="285">
        <f>C149+D136/2</f>
        <v>705.36258161589126</v>
      </c>
      <c r="E149" s="285"/>
      <c r="F149" s="285">
        <f>D139</f>
        <v>790</v>
      </c>
      <c r="G149" s="398">
        <f>F149+D136*O3</f>
        <v>1023.8268590217984</v>
      </c>
      <c r="H149" s="285"/>
      <c r="I149" s="285">
        <f>IF(REENTRANT!$O$28+REENTRANT!$R$28=0,C149,0)</f>
        <v>0</v>
      </c>
      <c r="J149" s="285">
        <f>IF(REENTRANT!$O$28+REENTRANT!$R$28=0,D149,0)</f>
        <v>0</v>
      </c>
      <c r="K149" s="285"/>
      <c r="L149" s="285">
        <f>IF(REENTRANT!$O$28+REENTRANT!$R$28=0,F149,0)</f>
        <v>0</v>
      </c>
      <c r="M149" s="398">
        <f>IF(REENTRANT!$O$28+REENTRANT!$R$28=0,G149,0)</f>
        <v>0</v>
      </c>
      <c r="N149" s="77"/>
      <c r="O149" s="77"/>
      <c r="P149" s="77"/>
      <c r="Q149" s="2"/>
    </row>
    <row r="150" spans="1:18">
      <c r="A150" s="77"/>
      <c r="B150" s="23"/>
      <c r="C150" s="396">
        <f>F144</f>
        <v>315</v>
      </c>
      <c r="D150" s="396">
        <f>C150+D136*O3</f>
        <v>548.82685902179844</v>
      </c>
      <c r="E150" s="396"/>
      <c r="F150" s="396">
        <f>C140+REENTRANT!U9</f>
        <v>332.86258161589132</v>
      </c>
      <c r="G150" s="397">
        <f>F150+D136/2</f>
        <v>467.86258161589132</v>
      </c>
      <c r="H150" s="396"/>
      <c r="I150" s="396">
        <f>IF(REENTRANT!$O$28+REENTRANT!$R$28=0,C150,0)</f>
        <v>0</v>
      </c>
      <c r="J150" s="396">
        <f>IF(REENTRANT!$O$28+REENTRANT!$R$28=0,D150,0)</f>
        <v>0</v>
      </c>
      <c r="K150" s="396"/>
      <c r="L150" s="396">
        <f>IF(REENTRANT!$O$28+REENTRANT!$R$28=0,F150,0)</f>
        <v>0</v>
      </c>
      <c r="M150" s="397">
        <f>IF(REENTRANT!$O$28+REENTRANT!$R$28=0,G150,0)</f>
        <v>0</v>
      </c>
      <c r="N150" s="77"/>
      <c r="O150" s="77"/>
      <c r="P150" s="77"/>
      <c r="Q150" s="2"/>
    </row>
    <row r="151" spans="1:18">
      <c r="A151" s="77"/>
      <c r="B151" s="23" t="s">
        <v>131</v>
      </c>
      <c r="C151" s="285">
        <f>C143-REENTRANT!U9</f>
        <v>129.63741838410868</v>
      </c>
      <c r="D151" s="285">
        <f>C151-D136/2</f>
        <v>-5.3625816158913153</v>
      </c>
      <c r="E151" s="285"/>
      <c r="F151" s="285">
        <f>C143+REENTRANT!U9</f>
        <v>570.36258161589126</v>
      </c>
      <c r="G151" s="398">
        <f>F151+D136/2</f>
        <v>705.36258161589126</v>
      </c>
      <c r="H151" s="285"/>
      <c r="I151" s="285">
        <f>IF(REENTRANT!$O$28+REENTRANT!$R$28=0,C151,0)</f>
        <v>0</v>
      </c>
      <c r="J151" s="285">
        <f>IF(REENTRANT!$O$28+REENTRANT!$R$28=0,D151,0)</f>
        <v>0</v>
      </c>
      <c r="K151" s="285"/>
      <c r="L151" s="285">
        <f>IF(REENTRANT!$O$28+REENTRANT!$R$28=0,F151,0)</f>
        <v>0</v>
      </c>
      <c r="M151" s="398">
        <f>IF(REENTRANT!$O$28+REENTRANT!$R$28=0,G151,0)</f>
        <v>0</v>
      </c>
      <c r="N151" s="77"/>
      <c r="O151" s="77"/>
      <c r="P151" s="77"/>
      <c r="Q151" s="2"/>
    </row>
    <row r="152" spans="1:18">
      <c r="A152" s="77"/>
      <c r="B152" s="23"/>
      <c r="C152" s="396">
        <f>C144</f>
        <v>-90</v>
      </c>
      <c r="D152" s="396">
        <f>C152-D136*O3</f>
        <v>-323.82685902179844</v>
      </c>
      <c r="E152" s="396"/>
      <c r="F152" s="396">
        <f>C152</f>
        <v>-90</v>
      </c>
      <c r="G152" s="397">
        <f>D152</f>
        <v>-323.82685902179844</v>
      </c>
      <c r="H152" s="396"/>
      <c r="I152" s="396">
        <f>IF(REENTRANT!$O$28+REENTRANT!$R$28=0,C152,0)</f>
        <v>0</v>
      </c>
      <c r="J152" s="396">
        <f>IF(REENTRANT!$O$28+REENTRANT!$R$28=0,D152,0)</f>
        <v>0</v>
      </c>
      <c r="K152" s="396"/>
      <c r="L152" s="396">
        <f>IF(REENTRANT!$O$28+REENTRANT!$R$28=0,F152,0)</f>
        <v>0</v>
      </c>
      <c r="M152" s="397">
        <f>IF(REENTRANT!$O$28+REENTRANT!$R$28=0,G152,0)</f>
        <v>0</v>
      </c>
      <c r="N152" s="77"/>
      <c r="O152" s="77"/>
      <c r="P152" s="77"/>
      <c r="Q152" s="2"/>
    </row>
    <row r="153" spans="1:18">
      <c r="A153" s="77"/>
      <c r="B153" s="23" t="s">
        <v>133</v>
      </c>
      <c r="C153" s="285">
        <f>G139</f>
        <v>-90</v>
      </c>
      <c r="D153" s="285">
        <f>C153-D136*O3</f>
        <v>-323.82685902179844</v>
      </c>
      <c r="E153" s="285"/>
      <c r="F153" s="285">
        <f>D139</f>
        <v>790</v>
      </c>
      <c r="G153" s="398">
        <f>G149</f>
        <v>1023.8268590217984</v>
      </c>
      <c r="H153" s="285"/>
      <c r="I153" s="285">
        <f>IF(REENTRANT!$O$28+REENTRANT!$R$28=0,C153,0)</f>
        <v>0</v>
      </c>
      <c r="J153" s="285">
        <f>IF(REENTRANT!$O$28+REENTRANT!$R$28=0,D153,0)</f>
        <v>0</v>
      </c>
      <c r="K153" s="285"/>
      <c r="L153" s="285">
        <f>IF(REENTRANT!$O$28+REENTRANT!$R$28=0,F153,0)</f>
        <v>0</v>
      </c>
      <c r="M153" s="398">
        <f>IF(REENTRANT!$O$28+REENTRANT!$R$28=0,G153,0)</f>
        <v>0</v>
      </c>
      <c r="N153" s="77"/>
      <c r="O153" s="77"/>
      <c r="P153" s="77"/>
      <c r="Q153" s="2"/>
    </row>
    <row r="154" spans="1:18">
      <c r="A154" s="77"/>
      <c r="B154" s="399"/>
      <c r="C154" s="400">
        <f>C140-REENTRANT!U9</f>
        <v>-107.86258161589132</v>
      </c>
      <c r="D154" s="400">
        <f>C154-D136/2</f>
        <v>-242.86258161589132</v>
      </c>
      <c r="E154" s="400"/>
      <c r="F154" s="400">
        <f>C154</f>
        <v>-107.86258161589132</v>
      </c>
      <c r="G154" s="401">
        <f>D154</f>
        <v>-242.86258161589132</v>
      </c>
      <c r="H154" s="400"/>
      <c r="I154" s="400">
        <f>IF(REENTRANT!$O$28+REENTRANT!$R$28=0,C154,0)</f>
        <v>0</v>
      </c>
      <c r="J154" s="400">
        <f>IF(REENTRANT!$O$28+REENTRANT!$R$28=0,D154,0)</f>
        <v>0</v>
      </c>
      <c r="K154" s="400"/>
      <c r="L154" s="400">
        <f>IF(REENTRANT!$O$28+REENTRANT!$R$28=0,F154,0)</f>
        <v>0</v>
      </c>
      <c r="M154" s="401">
        <f>IF(REENTRANT!$O$28+REENTRANT!$R$28=0,G154,0)</f>
        <v>0</v>
      </c>
      <c r="N154" s="77"/>
      <c r="O154" s="77"/>
      <c r="P154" s="77"/>
      <c r="Q154" s="2"/>
    </row>
    <row r="155" spans="1:18" ht="15.75">
      <c r="A155" s="77"/>
      <c r="B155" s="23" t="s">
        <v>136</v>
      </c>
      <c r="C155" s="285">
        <f>C139</f>
        <v>1060</v>
      </c>
      <c r="D155" s="285">
        <f>D139</f>
        <v>790</v>
      </c>
      <c r="E155" s="285"/>
      <c r="F155" s="285">
        <f>F139</f>
        <v>-360</v>
      </c>
      <c r="G155" s="398">
        <f>G139</f>
        <v>-90</v>
      </c>
      <c r="H155" s="285"/>
      <c r="I155" s="285">
        <f>IF(REENTRANT!$O$28=1,C155,0)</f>
        <v>1060</v>
      </c>
      <c r="J155" s="285">
        <f>IF(REENTRANT!$O$28=1,D155,0)</f>
        <v>790</v>
      </c>
      <c r="K155" s="285"/>
      <c r="L155" s="285">
        <f>IF(REENTRANT!$O$28=1,F155,0)</f>
        <v>-360</v>
      </c>
      <c r="M155" s="398">
        <f>IF(REENTRANT!$O$28=1,G155,0)</f>
        <v>-90</v>
      </c>
      <c r="N155" s="77"/>
      <c r="O155" s="73">
        <f>REENTRANT!O22</f>
        <v>181</v>
      </c>
      <c r="P155" s="73">
        <f>REENTRANT!P22</f>
        <v>256</v>
      </c>
      <c r="Q155" s="73">
        <f>REENTRANT!P21</f>
        <v>147</v>
      </c>
      <c r="R155" s="73">
        <f>REENTRANT!$O$21</f>
        <v>110</v>
      </c>
    </row>
    <row r="156" spans="1:18" ht="15.75">
      <c r="A156" s="77"/>
      <c r="B156" s="23"/>
      <c r="C156" s="402">
        <f>-REENTRANT!$O$9</f>
        <v>-35</v>
      </c>
      <c r="D156" s="396">
        <f>C156</f>
        <v>-35</v>
      </c>
      <c r="E156" s="396"/>
      <c r="F156" s="396">
        <f>C156</f>
        <v>-35</v>
      </c>
      <c r="G156" s="397">
        <f>C156</f>
        <v>-35</v>
      </c>
      <c r="H156" s="396"/>
      <c r="I156" s="396">
        <f>IF(REENTRANT!$O$28=1,C156,0)</f>
        <v>-35</v>
      </c>
      <c r="J156" s="396">
        <f>IF(REENTRANT!$O$28=1,D156,0)</f>
        <v>-35</v>
      </c>
      <c r="K156" s="396"/>
      <c r="L156" s="396">
        <f>IF(REENTRANT!$O$28=1,F156,0)</f>
        <v>-35</v>
      </c>
      <c r="M156" s="397">
        <f>IF(REENTRANT!$O$28=1,G156,0)</f>
        <v>-35</v>
      </c>
      <c r="N156" s="77"/>
      <c r="O156" s="73">
        <f>REENTRANT!$O$12</f>
        <v>4</v>
      </c>
      <c r="P156" s="73">
        <f>REENTRANT!$O$19</f>
        <v>4</v>
      </c>
      <c r="Q156" s="73">
        <f>REENTRANT!$O$18</f>
        <v>3</v>
      </c>
      <c r="R156" s="73">
        <f>REENTRANT!$O$11</f>
        <v>3</v>
      </c>
    </row>
    <row r="157" spans="1:18" ht="15.75">
      <c r="A157" s="77"/>
      <c r="B157" s="23" t="s">
        <v>135</v>
      </c>
      <c r="C157" s="396">
        <f>REENTRANT!$E$13-C156</f>
        <v>260</v>
      </c>
      <c r="D157" s="396">
        <f>C157</f>
        <v>260</v>
      </c>
      <c r="E157" s="396"/>
      <c r="F157" s="396">
        <f>REENTRANT!$E$13+MIN(REENTRANT!$E$15-40,-C156)</f>
        <v>185</v>
      </c>
      <c r="G157" s="397">
        <f>F157</f>
        <v>185</v>
      </c>
      <c r="H157" s="396"/>
      <c r="I157" s="396">
        <f>IF(REENTRANT!$O$28=1,C157,0)</f>
        <v>260</v>
      </c>
      <c r="J157" s="396">
        <f>IF(REENTRANT!$O$28=1,D157,0)</f>
        <v>260</v>
      </c>
      <c r="K157" s="396"/>
      <c r="L157" s="396">
        <f>IF(REENTRANT!$O$28=1,F157,0)</f>
        <v>185</v>
      </c>
      <c r="M157" s="397">
        <f>IF(REENTRANT!$O$28=1,G157,0)</f>
        <v>185</v>
      </c>
      <c r="N157" s="427"/>
      <c r="O157" s="73" t="s">
        <v>192</v>
      </c>
      <c r="P157" s="73" t="s">
        <v>193</v>
      </c>
      <c r="Q157" s="73" t="s">
        <v>7</v>
      </c>
      <c r="R157" s="73" t="s">
        <v>202</v>
      </c>
    </row>
    <row r="158" spans="1:18" ht="15.75">
      <c r="A158" s="77"/>
      <c r="B158" s="23" t="s">
        <v>173</v>
      </c>
      <c r="C158" s="396">
        <f>C156+Q155</f>
        <v>112</v>
      </c>
      <c r="D158" s="396">
        <f>C158</f>
        <v>112</v>
      </c>
      <c r="E158" s="396"/>
      <c r="F158" s="396">
        <f>F156+R155</f>
        <v>75</v>
      </c>
      <c r="G158" s="397">
        <f>F158</f>
        <v>75</v>
      </c>
      <c r="H158" s="396"/>
      <c r="I158" s="396">
        <f>IF(REENTRANT!$O$28=1,C158,0)</f>
        <v>112</v>
      </c>
      <c r="J158" s="396">
        <f>IF(REENTRANT!$O$28=1,D158,0)</f>
        <v>112</v>
      </c>
      <c r="K158" s="396"/>
      <c r="L158" s="396">
        <f>IF(REENTRANT!$O$28=1,F158,0)</f>
        <v>75</v>
      </c>
      <c r="M158" s="397">
        <f>IF(REENTRANT!$O$28=1,G158,0)</f>
        <v>75</v>
      </c>
      <c r="N158" s="427"/>
      <c r="O158" s="77"/>
      <c r="P158" s="77"/>
      <c r="Q158" s="2"/>
    </row>
    <row r="159" spans="1:18" ht="15.75">
      <c r="A159" s="77"/>
      <c r="B159" s="23" t="s">
        <v>137</v>
      </c>
      <c r="C159" s="285">
        <f>IF($Q$156&gt;3,C155,0)</f>
        <v>0</v>
      </c>
      <c r="D159" s="285">
        <f>IF($Q$156&gt;3,D155,0)</f>
        <v>0</v>
      </c>
      <c r="E159" s="285"/>
      <c r="F159" s="285">
        <f>IF($R$156&gt;3,F155,0)</f>
        <v>0</v>
      </c>
      <c r="G159" s="398">
        <f>IF($R$156&gt;3,G155,0)</f>
        <v>0</v>
      </c>
      <c r="H159" s="285"/>
      <c r="I159" s="285">
        <f>IF(REENTRANT!$O$28=1,C159,0)</f>
        <v>0</v>
      </c>
      <c r="J159" s="285">
        <f>IF(REENTRANT!$O$28=1,D159,0)</f>
        <v>0</v>
      </c>
      <c r="K159" s="285"/>
      <c r="L159" s="285">
        <f>IF(REENTRANT!$O$28=1,F159,0)</f>
        <v>0</v>
      </c>
      <c r="M159" s="398">
        <f>IF(REENTRANT!$O$28=1,G159,0)</f>
        <v>0</v>
      </c>
      <c r="N159" s="427"/>
      <c r="O159" s="77"/>
      <c r="P159" s="77"/>
      <c r="Q159" s="2"/>
    </row>
    <row r="160" spans="1:18" ht="15.75">
      <c r="A160" s="77"/>
      <c r="B160" s="23"/>
      <c r="C160" s="396">
        <f>IF($Q$156&gt;3,C158+Q155,0)</f>
        <v>0</v>
      </c>
      <c r="D160" s="396">
        <f>C160</f>
        <v>0</v>
      </c>
      <c r="E160" s="396"/>
      <c r="F160" s="396">
        <f>IF($R$156&gt;3,F158+R155,0)</f>
        <v>0</v>
      </c>
      <c r="G160" s="397">
        <f>F160</f>
        <v>0</v>
      </c>
      <c r="H160" s="396"/>
      <c r="I160" s="396">
        <f>IF(REENTRANT!$O$28=1,C160,0)</f>
        <v>0</v>
      </c>
      <c r="J160" s="396">
        <f>IF(REENTRANT!$O$28=1,D160,0)</f>
        <v>0</v>
      </c>
      <c r="K160" s="396"/>
      <c r="L160" s="396">
        <f>IF(REENTRANT!$O$28=1,F160,0)</f>
        <v>0</v>
      </c>
      <c r="M160" s="397">
        <f>IF(REENTRANT!$O$28=1,G160,0)</f>
        <v>0</v>
      </c>
      <c r="N160" s="427"/>
      <c r="O160" s="77"/>
      <c r="P160" s="77"/>
      <c r="Q160" s="2"/>
    </row>
    <row r="161" spans="1:17" ht="15.75">
      <c r="A161" s="77"/>
      <c r="B161" s="23" t="s">
        <v>138</v>
      </c>
      <c r="C161" s="285">
        <f>IF($Q$156&gt;4,C155,0)</f>
        <v>0</v>
      </c>
      <c r="D161" s="285">
        <f>IF($Q$156&gt;4,D155,0)</f>
        <v>0</v>
      </c>
      <c r="E161" s="285"/>
      <c r="F161" s="285">
        <f>IF($R$156&gt;4,F155,0)</f>
        <v>0</v>
      </c>
      <c r="G161" s="398">
        <f>IF($R$156&gt;4,G155,0)</f>
        <v>0</v>
      </c>
      <c r="H161" s="285"/>
      <c r="I161" s="285">
        <f>IF(REENTRANT!$O$28=1,C161,0)</f>
        <v>0</v>
      </c>
      <c r="J161" s="285">
        <f>IF(REENTRANT!$O$28=1,D161,0)</f>
        <v>0</v>
      </c>
      <c r="K161" s="285"/>
      <c r="L161" s="285">
        <f>IF(REENTRANT!$O$28=1,F161,0)</f>
        <v>0</v>
      </c>
      <c r="M161" s="398">
        <f>IF(REENTRANT!$O$28=1,G161,0)</f>
        <v>0</v>
      </c>
      <c r="N161" s="427"/>
      <c r="O161" s="77"/>
      <c r="P161" s="77"/>
      <c r="Q161" s="2"/>
    </row>
    <row r="162" spans="1:17" ht="15.75">
      <c r="A162" s="77"/>
      <c r="B162" s="23"/>
      <c r="C162" s="396">
        <f>IF($Q$156&gt;4,C160+Q155,0)</f>
        <v>0</v>
      </c>
      <c r="D162" s="396">
        <f>C162</f>
        <v>0</v>
      </c>
      <c r="E162" s="396"/>
      <c r="F162" s="396">
        <f>IF($R$156&gt;4,F160+R155,0)</f>
        <v>0</v>
      </c>
      <c r="G162" s="397">
        <f>F162</f>
        <v>0</v>
      </c>
      <c r="H162" s="396"/>
      <c r="I162" s="396">
        <f>IF(REENTRANT!$O$28=1,C162,0)</f>
        <v>0</v>
      </c>
      <c r="J162" s="396">
        <f>IF(REENTRANT!$O$28=1,D162,0)</f>
        <v>0</v>
      </c>
      <c r="K162" s="396"/>
      <c r="L162" s="396">
        <f>IF(REENTRANT!$O$28=1,F162,0)</f>
        <v>0</v>
      </c>
      <c r="M162" s="397">
        <f>IF(REENTRANT!$O$28=1,G162,0)</f>
        <v>0</v>
      </c>
      <c r="N162" s="427"/>
      <c r="O162" s="77"/>
      <c r="P162" s="77"/>
      <c r="Q162" s="2"/>
    </row>
    <row r="163" spans="1:17" ht="15.75">
      <c r="A163" s="77"/>
      <c r="B163" s="23" t="s">
        <v>139</v>
      </c>
      <c r="C163" s="285">
        <f>IF($Q$156&gt;5,C155,0)</f>
        <v>0</v>
      </c>
      <c r="D163" s="285">
        <f>IF($Q$156&gt;5,D155,0)</f>
        <v>0</v>
      </c>
      <c r="E163" s="285"/>
      <c r="F163" s="285">
        <f>IF($R$156&gt;5,F155,0)</f>
        <v>0</v>
      </c>
      <c r="G163" s="398">
        <f>IF($R$156&gt;5,G155,0)</f>
        <v>0</v>
      </c>
      <c r="H163" s="285"/>
      <c r="I163" s="285">
        <f>IF(REENTRANT!$O$28=1,C163,0)</f>
        <v>0</v>
      </c>
      <c r="J163" s="285">
        <f>IF(REENTRANT!$O$28=1,D163,0)</f>
        <v>0</v>
      </c>
      <c r="K163" s="285"/>
      <c r="L163" s="285">
        <f>IF(REENTRANT!$O$28=1,F163,0)</f>
        <v>0</v>
      </c>
      <c r="M163" s="398">
        <f>IF(REENTRANT!$O$28=1,G163,0)</f>
        <v>0</v>
      </c>
      <c r="N163" s="427"/>
      <c r="O163" s="77"/>
      <c r="P163" s="77"/>
      <c r="Q163" s="2"/>
    </row>
    <row r="164" spans="1:17" ht="15.75">
      <c r="A164" s="77"/>
      <c r="B164" s="399"/>
      <c r="C164" s="400">
        <f>IF($Q$156&gt;5,C162+Q155,0)</f>
        <v>0</v>
      </c>
      <c r="D164" s="400">
        <f>C164</f>
        <v>0</v>
      </c>
      <c r="E164" s="400"/>
      <c r="F164" s="400">
        <f>IF($R$156&gt;5,F162+R155,0)</f>
        <v>0</v>
      </c>
      <c r="G164" s="401">
        <f>F164</f>
        <v>0</v>
      </c>
      <c r="H164" s="400"/>
      <c r="I164" s="400">
        <f>IF(REENTRANT!$O$28=1,C164,0)</f>
        <v>0</v>
      </c>
      <c r="J164" s="400">
        <f>IF(REENTRANT!$O$28=1,D164,0)</f>
        <v>0</v>
      </c>
      <c r="K164" s="400"/>
      <c r="L164" s="400">
        <f>IF(REENTRANT!$O$28=1,F164,0)</f>
        <v>0</v>
      </c>
      <c r="M164" s="401">
        <f>IF(REENTRANT!$O$28=1,G164,0)</f>
        <v>0</v>
      </c>
      <c r="N164" s="427"/>
      <c r="O164" s="77"/>
      <c r="P164" s="77"/>
      <c r="Q164" s="2"/>
    </row>
    <row r="165" spans="1:17" ht="15.75">
      <c r="A165" s="77"/>
      <c r="B165" s="23" t="s">
        <v>144</v>
      </c>
      <c r="C165" s="285">
        <f>REENTRANT!E12-C156</f>
        <v>735</v>
      </c>
      <c r="D165" s="285">
        <f>C165</f>
        <v>735</v>
      </c>
      <c r="E165" s="285"/>
      <c r="F165" s="285">
        <f>C165</f>
        <v>735</v>
      </c>
      <c r="G165" s="398">
        <f>C165</f>
        <v>735</v>
      </c>
      <c r="H165" s="285"/>
      <c r="I165" s="285">
        <f>IF(REENTRANT!$O$28=1,C165,0)</f>
        <v>735</v>
      </c>
      <c r="J165" s="285">
        <f>IF(REENTRANT!$O$28=1,D165,0)</f>
        <v>735</v>
      </c>
      <c r="K165" s="285"/>
      <c r="L165" s="285">
        <f>IF(REENTRANT!$O$28=1,F165,0)</f>
        <v>735</v>
      </c>
      <c r="M165" s="398">
        <f>IF(REENTRANT!$O$28=1,G165,0)</f>
        <v>735</v>
      </c>
      <c r="N165" s="77"/>
      <c r="O165" s="73">
        <f>REENTRANT!O22</f>
        <v>181</v>
      </c>
      <c r="P165" s="77"/>
      <c r="Q165" s="2"/>
    </row>
    <row r="166" spans="1:17" ht="15.75">
      <c r="A166" s="77"/>
      <c r="B166" s="23" t="s">
        <v>140</v>
      </c>
      <c r="C166" s="285">
        <f>C156</f>
        <v>-35</v>
      </c>
      <c r="D166" s="285">
        <f t="shared" ref="D166:D173" si="1">C166</f>
        <v>-35</v>
      </c>
      <c r="E166" s="285"/>
      <c r="F166" s="285">
        <f>MAX(C156,-REENTRANT!$E$14+40)</f>
        <v>190</v>
      </c>
      <c r="G166" s="398">
        <f>F166</f>
        <v>190</v>
      </c>
      <c r="H166" s="285"/>
      <c r="I166" s="285">
        <f>IF(REENTRANT!$O$28=1,C166,0)</f>
        <v>-35</v>
      </c>
      <c r="J166" s="285">
        <f>IF(REENTRANT!$O$28=1,D166,0)</f>
        <v>-35</v>
      </c>
      <c r="K166" s="285"/>
      <c r="L166" s="285">
        <f>IF(REENTRANT!$O$28=1,F166,0)</f>
        <v>190</v>
      </c>
      <c r="M166" s="398">
        <f>IF(REENTRANT!$O$28=1,G166,0)</f>
        <v>190</v>
      </c>
      <c r="N166" s="77"/>
      <c r="O166" s="73">
        <f>REENTRANT!O19</f>
        <v>4</v>
      </c>
      <c r="P166" s="77"/>
      <c r="Q166" s="2"/>
    </row>
    <row r="167" spans="1:17" ht="15.75">
      <c r="A167" s="77"/>
      <c r="B167" s="23" t="s">
        <v>174</v>
      </c>
      <c r="C167" s="285">
        <f>C166+P155</f>
        <v>221</v>
      </c>
      <c r="D167" s="285">
        <f t="shared" si="1"/>
        <v>221</v>
      </c>
      <c r="E167" s="285"/>
      <c r="F167" s="285">
        <f>F165-O155</f>
        <v>554</v>
      </c>
      <c r="G167" s="398">
        <f>F167</f>
        <v>554</v>
      </c>
      <c r="H167" s="285"/>
      <c r="I167" s="285">
        <f>IF(REENTRANT!$O$28=1,C167,0)</f>
        <v>221</v>
      </c>
      <c r="J167" s="285">
        <f>IF(REENTRANT!$O$28=1,D167,0)</f>
        <v>221</v>
      </c>
      <c r="K167" s="285"/>
      <c r="L167" s="285">
        <f>IF(REENTRANT!$O$28=1,F167,0)</f>
        <v>554</v>
      </c>
      <c r="M167" s="398">
        <f>IF(REENTRANT!$O$28=1,G167,0)</f>
        <v>554</v>
      </c>
      <c r="N167" s="77"/>
      <c r="O167" s="73"/>
      <c r="P167" s="77"/>
      <c r="Q167" s="2"/>
    </row>
    <row r="168" spans="1:17">
      <c r="A168" s="77"/>
      <c r="B168" s="23"/>
      <c r="C168" s="396">
        <f>C144</f>
        <v>-90</v>
      </c>
      <c r="D168" s="396">
        <f>D144</f>
        <v>-360</v>
      </c>
      <c r="E168" s="396"/>
      <c r="F168" s="396">
        <f>F144</f>
        <v>315</v>
      </c>
      <c r="G168" s="397">
        <f>G144</f>
        <v>585</v>
      </c>
      <c r="H168" s="396"/>
      <c r="I168" s="396">
        <f>IF(REENTRANT!$O$28=1,C168,0)</f>
        <v>-90</v>
      </c>
      <c r="J168" s="396">
        <f>IF(REENTRANT!$O$28=1,D168,0)</f>
        <v>-360</v>
      </c>
      <c r="K168" s="396"/>
      <c r="L168" s="396">
        <f>IF(REENTRANT!$O$28=1,F168,0)</f>
        <v>315</v>
      </c>
      <c r="M168" s="397">
        <f>IF(REENTRANT!$O$28=1,G168,0)</f>
        <v>585</v>
      </c>
      <c r="N168" s="77"/>
      <c r="O168" s="77"/>
      <c r="P168" s="77"/>
      <c r="Q168" s="2"/>
    </row>
    <row r="169" spans="1:17">
      <c r="A169" s="77"/>
      <c r="B169" s="23" t="s">
        <v>141</v>
      </c>
      <c r="C169" s="285">
        <f>IF(P156&gt;3,C167+P155,0)</f>
        <v>477</v>
      </c>
      <c r="D169" s="285">
        <f t="shared" si="1"/>
        <v>477</v>
      </c>
      <c r="E169" s="285"/>
      <c r="F169" s="285">
        <f>IF(O156&gt;3,F166+O155,0)</f>
        <v>371</v>
      </c>
      <c r="G169" s="398">
        <f>F169</f>
        <v>371</v>
      </c>
      <c r="H169" s="285"/>
      <c r="I169" s="285">
        <f>IF(REENTRANT!$O$28=1,C169,0)</f>
        <v>477</v>
      </c>
      <c r="J169" s="285">
        <f>IF(REENTRANT!$O$28=1,D169,0)</f>
        <v>477</v>
      </c>
      <c r="K169" s="285"/>
      <c r="L169" s="285">
        <f>IF(REENTRANT!$O$28=1,F169,0)</f>
        <v>371</v>
      </c>
      <c r="M169" s="398">
        <f>IF(REENTRANT!$O$28=1,G169,0)</f>
        <v>371</v>
      </c>
      <c r="N169" s="77"/>
      <c r="O169" s="77"/>
      <c r="P169" s="77"/>
      <c r="Q169" s="2"/>
    </row>
    <row r="170" spans="1:17">
      <c r="A170" s="77"/>
      <c r="B170" s="23"/>
      <c r="C170" s="396">
        <f>IF($P156&gt;3,C168,0)</f>
        <v>-90</v>
      </c>
      <c r="D170" s="396">
        <f>IF($P156&gt;3,D168,0)</f>
        <v>-360</v>
      </c>
      <c r="E170" s="396"/>
      <c r="F170" s="396">
        <f>IF($O156&gt;3,F168,0)</f>
        <v>315</v>
      </c>
      <c r="G170" s="397">
        <f>IF($O156&gt;3,G168,0)</f>
        <v>585</v>
      </c>
      <c r="H170" s="396"/>
      <c r="I170" s="396">
        <f>IF(REENTRANT!$O$28=1,C170,0)</f>
        <v>-90</v>
      </c>
      <c r="J170" s="396">
        <f>IF(REENTRANT!$O$28=1,D170,0)</f>
        <v>-360</v>
      </c>
      <c r="K170" s="396"/>
      <c r="L170" s="396">
        <f>IF(REENTRANT!$O$28=1,F170,0)</f>
        <v>315</v>
      </c>
      <c r="M170" s="397">
        <f>IF(REENTRANT!$O$28=1,G170,0)</f>
        <v>585</v>
      </c>
      <c r="N170" s="77"/>
      <c r="O170" s="77"/>
      <c r="P170" s="77"/>
      <c r="Q170" s="2"/>
    </row>
    <row r="171" spans="1:17">
      <c r="A171" s="77"/>
      <c r="B171" s="23" t="s">
        <v>142</v>
      </c>
      <c r="C171" s="285">
        <f>IF(P156&gt;4,C169+P155,0)</f>
        <v>0</v>
      </c>
      <c r="D171" s="285">
        <f t="shared" si="1"/>
        <v>0</v>
      </c>
      <c r="E171" s="285"/>
      <c r="F171" s="285">
        <f>IF(O156&gt;4,F169+O155,0)</f>
        <v>0</v>
      </c>
      <c r="G171" s="398">
        <f>F171</f>
        <v>0</v>
      </c>
      <c r="H171" s="285"/>
      <c r="I171" s="285">
        <f>IF(REENTRANT!$O$28=1,C171,0)</f>
        <v>0</v>
      </c>
      <c r="J171" s="285">
        <f>IF(REENTRANT!$O$28=1,D171,0)</f>
        <v>0</v>
      </c>
      <c r="K171" s="285"/>
      <c r="L171" s="285">
        <f>IF(REENTRANT!$O$28=1,F171,0)</f>
        <v>0</v>
      </c>
      <c r="M171" s="398">
        <f>IF(REENTRANT!$O$28=1,G171,0)</f>
        <v>0</v>
      </c>
      <c r="N171" s="77"/>
      <c r="O171" s="77"/>
      <c r="P171" s="77"/>
      <c r="Q171" s="2"/>
    </row>
    <row r="172" spans="1:17">
      <c r="A172" s="77"/>
      <c r="B172" s="23"/>
      <c r="C172" s="396">
        <f>IF($P156&gt;4,C168,0)</f>
        <v>0</v>
      </c>
      <c r="D172" s="396">
        <f>IF($P156&gt;4,D168,0)</f>
        <v>0</v>
      </c>
      <c r="E172" s="396"/>
      <c r="F172" s="396">
        <f>IF(O156&gt;4,F168,0)</f>
        <v>0</v>
      </c>
      <c r="G172" s="397">
        <f>IF(O156&gt;4,G168,0)</f>
        <v>0</v>
      </c>
      <c r="H172" s="396"/>
      <c r="I172" s="396">
        <f>IF(REENTRANT!$O$28=1,C172,0)</f>
        <v>0</v>
      </c>
      <c r="J172" s="396">
        <f>IF(REENTRANT!$O$28=1,D172,0)</f>
        <v>0</v>
      </c>
      <c r="K172" s="396"/>
      <c r="L172" s="396">
        <f>IF(REENTRANT!$O$28=1,F172,0)</f>
        <v>0</v>
      </c>
      <c r="M172" s="397">
        <f>IF(REENTRANT!$O$28=1,G172,0)</f>
        <v>0</v>
      </c>
      <c r="N172" s="77"/>
      <c r="O172" s="77"/>
      <c r="P172" s="77"/>
      <c r="Q172" s="2"/>
    </row>
    <row r="173" spans="1:17">
      <c r="A173" s="77"/>
      <c r="B173" s="23" t="s">
        <v>143</v>
      </c>
      <c r="C173" s="285">
        <f>IF(P156&gt;5,C171+P155,0)</f>
        <v>0</v>
      </c>
      <c r="D173" s="285">
        <f t="shared" si="1"/>
        <v>0</v>
      </c>
      <c r="E173" s="285"/>
      <c r="F173" s="285">
        <f>IF(O156&gt;5,F171+O155,0)</f>
        <v>0</v>
      </c>
      <c r="G173" s="398">
        <f>F173</f>
        <v>0</v>
      </c>
      <c r="H173" s="285"/>
      <c r="I173" s="285">
        <f>IF(REENTRANT!$O$28=1,C173,0)</f>
        <v>0</v>
      </c>
      <c r="J173" s="285">
        <f>IF(REENTRANT!$O$28=1,D173,0)</f>
        <v>0</v>
      </c>
      <c r="K173" s="285"/>
      <c r="L173" s="285">
        <f>IF(REENTRANT!$O$28=1,F173,0)</f>
        <v>0</v>
      </c>
      <c r="M173" s="398">
        <f>IF(REENTRANT!$O$28=1,G173,0)</f>
        <v>0</v>
      </c>
      <c r="N173" s="77"/>
      <c r="O173" s="77"/>
      <c r="P173" s="77"/>
      <c r="Q173" s="2"/>
    </row>
    <row r="174" spans="1:17">
      <c r="A174" s="77"/>
      <c r="B174" s="23"/>
      <c r="C174" s="400">
        <f>IF(P156&gt;5,C168,0)</f>
        <v>0</v>
      </c>
      <c r="D174" s="400">
        <f>IF(P156&gt;5,D168,0)</f>
        <v>0</v>
      </c>
      <c r="E174" s="400"/>
      <c r="F174" s="400">
        <f>IF(O156&gt;5,F168,0)</f>
        <v>0</v>
      </c>
      <c r="G174" s="400">
        <f>IF(O156&gt;5,G168,0)</f>
        <v>0</v>
      </c>
      <c r="H174" s="426"/>
      <c r="I174" s="418">
        <f>IF(REENTRANT!$O$28=1,C174,0)</f>
        <v>0</v>
      </c>
      <c r="J174" s="418">
        <f>IF(REENTRANT!$O$28=1,D174,0)</f>
        <v>0</v>
      </c>
      <c r="K174" s="418"/>
      <c r="L174" s="418">
        <f>IF(REENTRANT!$O$28=1,F174,0)</f>
        <v>0</v>
      </c>
      <c r="M174" s="419">
        <f>IF(REENTRANT!$O$28=1,G174,0)</f>
        <v>0</v>
      </c>
      <c r="N174" s="77"/>
      <c r="O174" s="77"/>
      <c r="P174" s="77"/>
      <c r="Q174" s="2"/>
    </row>
    <row r="175" spans="1:17">
      <c r="A175" s="77"/>
      <c r="B175" s="100" t="s">
        <v>85</v>
      </c>
      <c r="C175" s="112">
        <f>-REENTRANT!E14</f>
        <v>150</v>
      </c>
      <c r="D175" s="112">
        <f>C175</f>
        <v>150</v>
      </c>
      <c r="E175" s="112"/>
      <c r="F175" s="112">
        <f>MIN(F139,G175)-0.5*REENTRANT!G22</f>
        <v>-450</v>
      </c>
      <c r="G175" s="407">
        <f>IF(AND(REENTRANT!E15&lt;0,REENTRANT!E14&lt;0),0,C175)</f>
        <v>150</v>
      </c>
      <c r="H175" s="111"/>
      <c r="I175" s="77"/>
      <c r="J175" s="77"/>
      <c r="K175" s="77"/>
      <c r="L175" s="137"/>
      <c r="M175" s="137"/>
      <c r="N175" s="137"/>
      <c r="O175" s="137"/>
      <c r="P175" s="77"/>
      <c r="Q175" s="2"/>
    </row>
    <row r="176" spans="1:17">
      <c r="A176" s="77"/>
      <c r="B176" s="23"/>
      <c r="C176" s="22">
        <f>IF(AND(REENTRANT!E15&lt;0,REENTRANT!E14&lt;0),REENTRANT!E13,REENTRANT!E13+REENTRANT!E15)</f>
        <v>225</v>
      </c>
      <c r="D176" s="22">
        <f>G144+0.5*REENTRANT!G22</f>
        <v>675</v>
      </c>
      <c r="E176" s="22"/>
      <c r="F176" s="22">
        <f>REENTRANT!E13+REENTRANT!E15</f>
        <v>225</v>
      </c>
      <c r="G176" s="412">
        <f>F176</f>
        <v>225</v>
      </c>
      <c r="H176" s="111"/>
      <c r="I176" s="77"/>
      <c r="J176" s="77"/>
      <c r="K176" s="77"/>
      <c r="L176" s="77"/>
      <c r="M176" s="77"/>
      <c r="N176" s="77"/>
      <c r="O176" s="77"/>
      <c r="P176" s="77"/>
      <c r="Q176" s="2"/>
    </row>
    <row r="177" spans="1:17">
      <c r="A177" s="77"/>
      <c r="B177" s="100" t="s">
        <v>55</v>
      </c>
      <c r="C177" s="112">
        <f>REENTRANT!E12/2+REENTRANT!H12</f>
        <v>350</v>
      </c>
      <c r="D177" s="112">
        <f>C177</f>
        <v>350</v>
      </c>
      <c r="E177" s="112">
        <f>D177+REENTRANT!H15</f>
        <v>350</v>
      </c>
      <c r="F177" s="112">
        <f>E177</f>
        <v>350</v>
      </c>
      <c r="G177" s="407">
        <f>C177</f>
        <v>350</v>
      </c>
      <c r="H177" s="112"/>
      <c r="I177" s="100">
        <f>C177</f>
        <v>350</v>
      </c>
      <c r="J177" s="112">
        <f>E177</f>
        <v>350</v>
      </c>
      <c r="K177" s="406"/>
      <c r="L177" s="112">
        <f>D177</f>
        <v>350</v>
      </c>
      <c r="M177" s="407">
        <f>F177</f>
        <v>350</v>
      </c>
      <c r="N177" s="77"/>
      <c r="O177" s="77"/>
      <c r="P177" s="77"/>
      <c r="Q177" s="2"/>
    </row>
    <row r="178" spans="1:17">
      <c r="A178" s="77"/>
      <c r="B178" s="25"/>
      <c r="C178" s="22">
        <f>REENTRANT!E13/2+REENTRANT!H13</f>
        <v>112.5</v>
      </c>
      <c r="D178" s="22">
        <f>C178+REENTRANT!H14</f>
        <v>112.5</v>
      </c>
      <c r="E178" s="22">
        <f>D178</f>
        <v>112.5</v>
      </c>
      <c r="F178" s="22">
        <f>C178</f>
        <v>112.5</v>
      </c>
      <c r="G178" s="412">
        <f>C178</f>
        <v>112.5</v>
      </c>
      <c r="H178" s="22"/>
      <c r="I178" s="25">
        <f>C178</f>
        <v>112.5</v>
      </c>
      <c r="J178" s="22">
        <f>E178</f>
        <v>112.5</v>
      </c>
      <c r="K178" s="411"/>
      <c r="L178" s="22">
        <f>D178</f>
        <v>112.5</v>
      </c>
      <c r="M178" s="412">
        <f>F178</f>
        <v>112.5</v>
      </c>
      <c r="N178" s="77"/>
      <c r="O178" s="77"/>
      <c r="P178" s="77"/>
      <c r="Q178" s="2"/>
    </row>
    <row r="179" spans="1:17">
      <c r="A179" s="77"/>
      <c r="B179" s="100" t="s">
        <v>226</v>
      </c>
      <c r="C179" s="413">
        <f>F143/2+C149/2</f>
        <v>460.18129080794563</v>
      </c>
      <c r="D179" s="413">
        <f>G143/2+D149/2</f>
        <v>527.68129080794563</v>
      </c>
      <c r="E179" s="394"/>
      <c r="F179" s="413">
        <f>C149/2+F149/2</f>
        <v>680.18129080794563</v>
      </c>
      <c r="G179" s="414">
        <f>D149/2+G149/2</f>
        <v>864.59472031884479</v>
      </c>
      <c r="H179" s="394"/>
      <c r="I179" s="413">
        <f>F149/2+D139/2</f>
        <v>790</v>
      </c>
      <c r="J179" s="413">
        <f>G149/2+C139/2</f>
        <v>1041.9134295108993</v>
      </c>
      <c r="K179" s="394"/>
      <c r="L179" s="415">
        <f>C139/2+G153/2</f>
        <v>1041.9134295108993</v>
      </c>
      <c r="M179" s="416">
        <f>D139/2+F153/2</f>
        <v>790</v>
      </c>
      <c r="N179" s="429">
        <f>IF(OR(REENTRANT!O28+REENTRANT!R28&gt;0,REENTRANT!U35=0),0,1-REENTRANT!U35/REENTRANT!U29)</f>
        <v>0</v>
      </c>
      <c r="O179" s="77"/>
      <c r="P179" s="77"/>
      <c r="Q179" s="2"/>
    </row>
    <row r="180" spans="1:17">
      <c r="A180" s="77"/>
      <c r="B180" s="417"/>
      <c r="C180" s="415">
        <f>F144/2+C150/2</f>
        <v>315</v>
      </c>
      <c r="D180" s="415">
        <f>G144/2+D150/2</f>
        <v>566.91342951089928</v>
      </c>
      <c r="E180" s="415"/>
      <c r="F180" s="415">
        <f>C150/2+F150/2</f>
        <v>323.93129080794563</v>
      </c>
      <c r="G180" s="416">
        <f>D150/2+G150/2</f>
        <v>508.34472031884491</v>
      </c>
      <c r="H180" s="415"/>
      <c r="I180" s="415">
        <f>F150/2+D140/2</f>
        <v>222.68129080794566</v>
      </c>
      <c r="J180" s="415">
        <f>G150/2+C140/2</f>
        <v>290.18129080794563</v>
      </c>
      <c r="K180" s="415"/>
      <c r="L180" s="415">
        <f>C140/2+G154/2</f>
        <v>-65.181290807945658</v>
      </c>
      <c r="M180" s="416">
        <f>D140/2+F154/2</f>
        <v>2.3187091920543423</v>
      </c>
      <c r="N180" s="77"/>
      <c r="O180" s="2"/>
      <c r="P180" s="2"/>
      <c r="Q180" s="2"/>
    </row>
    <row r="181" spans="1:17">
      <c r="A181" s="77"/>
      <c r="B181" s="23"/>
      <c r="C181" s="285">
        <f>IF($N$179=0,0,C179-$N$179*(C179-D179))</f>
        <v>0</v>
      </c>
      <c r="D181" s="285">
        <f>IF(C181=0,0,D179)</f>
        <v>0</v>
      </c>
      <c r="E181" s="285"/>
      <c r="F181" s="285">
        <f>IF($N$179=0,0,F179-$N$179*(F179-G179))</f>
        <v>0</v>
      </c>
      <c r="G181" s="398">
        <f>IF(F181=0,0,G179)</f>
        <v>0</v>
      </c>
      <c r="H181" s="285"/>
      <c r="I181" s="285">
        <f>IF($N$179=0,0,I179-$N$179*(I179-J179))</f>
        <v>0</v>
      </c>
      <c r="J181" s="285">
        <f>IF(I181=0,0,J179)</f>
        <v>0</v>
      </c>
      <c r="K181" s="285"/>
      <c r="L181" s="285">
        <f>IF(M181=0,0,L179)</f>
        <v>0</v>
      </c>
      <c r="M181" s="398">
        <f>IF($N$179=0,0,M179-$N$179*(M179-L179))</f>
        <v>0</v>
      </c>
      <c r="N181" s="77"/>
      <c r="O181" s="2"/>
      <c r="P181" s="2"/>
      <c r="Q181" s="2"/>
    </row>
    <row r="182" spans="1:17">
      <c r="A182" s="77"/>
      <c r="B182" s="399"/>
      <c r="C182" s="400">
        <f>IF($N$179=0,0,C180-$N$179*(C180-D180))</f>
        <v>0</v>
      </c>
      <c r="D182" s="400">
        <f>IF(C182=0,0,D180)</f>
        <v>0</v>
      </c>
      <c r="E182" s="400"/>
      <c r="F182" s="400">
        <f>IF($N$179=0,0,F180-$N$179*(F180-G180))</f>
        <v>0</v>
      </c>
      <c r="G182" s="401">
        <f>IF(F182=0,0,G180)</f>
        <v>0</v>
      </c>
      <c r="H182" s="400"/>
      <c r="I182" s="400">
        <f>IF($N$179=0,0,I180-$N$179*(I180-J180))</f>
        <v>0</v>
      </c>
      <c r="J182" s="400">
        <f>IF(I182=0,0,J180)</f>
        <v>0</v>
      </c>
      <c r="K182" s="400"/>
      <c r="L182" s="400">
        <f>IF(M182=0,0,L180)</f>
        <v>0</v>
      </c>
      <c r="M182" s="401">
        <f>IF($N$179=0,0,M180-$N$179*(M180-L180))</f>
        <v>0</v>
      </c>
      <c r="N182" s="77"/>
      <c r="O182" s="2"/>
      <c r="P182" s="2"/>
      <c r="Q182" s="2"/>
    </row>
    <row r="183" spans="1:17">
      <c r="A183" s="77"/>
      <c r="B183" s="23"/>
      <c r="C183" s="415">
        <f>F153/2+F151/2</f>
        <v>680.18129080794563</v>
      </c>
      <c r="D183" s="415">
        <f>G153/2+G151/2</f>
        <v>864.59472031884479</v>
      </c>
      <c r="E183" s="415"/>
      <c r="F183" s="415">
        <f>F151/2+C143/2</f>
        <v>460.18129080794563</v>
      </c>
      <c r="G183" s="416">
        <f>G151/2+D143/2</f>
        <v>527.68129080794563</v>
      </c>
      <c r="H183" s="415"/>
      <c r="I183" s="415">
        <f>C143/2+C151/2</f>
        <v>239.81870919205434</v>
      </c>
      <c r="J183" s="415">
        <f>D143/2+D151/2</f>
        <v>172.31870919205434</v>
      </c>
      <c r="K183" s="415"/>
      <c r="L183" s="415">
        <f>C151/2+C153/2</f>
        <v>19.818709192054342</v>
      </c>
      <c r="M183" s="416">
        <f>D151/2+D153/2</f>
        <v>-164.59472031884488</v>
      </c>
      <c r="N183" s="77"/>
      <c r="O183" s="2"/>
      <c r="P183" s="2"/>
      <c r="Q183" s="2"/>
    </row>
    <row r="184" spans="1:17">
      <c r="A184" s="77"/>
      <c r="B184" s="417"/>
      <c r="C184" s="415">
        <f>F154/2+F152/2</f>
        <v>-98.931290807945658</v>
      </c>
      <c r="D184" s="415">
        <f>G154/2+G152/2</f>
        <v>-283.34472031884491</v>
      </c>
      <c r="E184" s="415"/>
      <c r="F184" s="415">
        <f>F152/2+C144/2</f>
        <v>-90</v>
      </c>
      <c r="G184" s="416">
        <f>G152/2+D144/2</f>
        <v>-341.91342951089922</v>
      </c>
      <c r="H184" s="415"/>
      <c r="I184" s="415">
        <f>C144/2+C152/2</f>
        <v>-90</v>
      </c>
      <c r="J184" s="415">
        <f>D144/2+D152/2</f>
        <v>-341.91342951089922</v>
      </c>
      <c r="K184" s="415"/>
      <c r="L184" s="415">
        <f>C152/2+C154/2</f>
        <v>-98.931290807945658</v>
      </c>
      <c r="M184" s="416">
        <f>D152/2+D154/2</f>
        <v>-283.34472031884491</v>
      </c>
      <c r="N184" s="77"/>
      <c r="O184" s="2"/>
      <c r="P184" s="2"/>
      <c r="Q184" s="2"/>
    </row>
    <row r="185" spans="1:17">
      <c r="A185" s="77"/>
      <c r="B185" s="23"/>
      <c r="C185" s="285">
        <f>IF($N$179=0,0,C183-$N$179*(C183-D183))</f>
        <v>0</v>
      </c>
      <c r="D185" s="285">
        <f>IF(C185=0,0,D183)</f>
        <v>0</v>
      </c>
      <c r="E185" s="285"/>
      <c r="F185" s="285">
        <f>IF($N$179=0,0,F183-$N$179*(F183-G183))</f>
        <v>0</v>
      </c>
      <c r="G185" s="398">
        <f>IF(F185=0,0,G183)</f>
        <v>0</v>
      </c>
      <c r="H185" s="285"/>
      <c r="I185" s="285">
        <f>IF($N$179=0,0,I183-$N$179*(I183-J183))</f>
        <v>0</v>
      </c>
      <c r="J185" s="285">
        <f>IF(I185=0,0,J183)</f>
        <v>0</v>
      </c>
      <c r="K185" s="285"/>
      <c r="L185" s="285">
        <f>IF($N$179=0,0,L183-$N$179*(L183-M183))</f>
        <v>0</v>
      </c>
      <c r="M185" s="398">
        <f>IF(L185=0,0,M183)</f>
        <v>0</v>
      </c>
      <c r="N185" s="77"/>
      <c r="O185" s="2"/>
      <c r="P185" s="2"/>
      <c r="Q185" s="2"/>
    </row>
    <row r="186" spans="1:17">
      <c r="A186" s="77"/>
      <c r="B186" s="399"/>
      <c r="C186" s="400">
        <f>IF($N$179=0,0,C184-$N$179*(C184-D184))</f>
        <v>0</v>
      </c>
      <c r="D186" s="400">
        <f>IF(C186=0,0,D184)</f>
        <v>0</v>
      </c>
      <c r="E186" s="400"/>
      <c r="F186" s="396">
        <f>IF($N$179=0,0,F184-$N$179*(F184-G184))</f>
        <v>0</v>
      </c>
      <c r="G186" s="397">
        <f>IF(F186=0,0,G184)</f>
        <v>0</v>
      </c>
      <c r="H186" s="396"/>
      <c r="I186" s="396">
        <f>IF($N$179=0,0,I184-$N$179*(I184-J184))</f>
        <v>0</v>
      </c>
      <c r="J186" s="396">
        <f>IF(I186=0,0,J184)</f>
        <v>0</v>
      </c>
      <c r="K186" s="396"/>
      <c r="L186" s="396">
        <f>IF($N$179=0,0,L184-$N$179*(L184-M184))</f>
        <v>0</v>
      </c>
      <c r="M186" s="397">
        <f>IF(L186=0,0,M184)</f>
        <v>0</v>
      </c>
      <c r="N186" s="77"/>
      <c r="O186" s="2"/>
      <c r="P186" s="2"/>
      <c r="Q186" s="2"/>
    </row>
    <row r="187" spans="1:17">
      <c r="A187" s="77"/>
      <c r="B187" s="23"/>
      <c r="C187" s="415">
        <f>C153/2+G139/2</f>
        <v>-90</v>
      </c>
      <c r="D187" s="415">
        <f>D153/2+F139/2</f>
        <v>-341.91342951089922</v>
      </c>
      <c r="E187" s="415"/>
      <c r="F187" s="430"/>
      <c r="G187" s="431"/>
      <c r="H187" s="431"/>
      <c r="I187" s="431"/>
      <c r="J187" s="431"/>
      <c r="K187" s="431"/>
      <c r="L187" s="431"/>
      <c r="M187" s="431"/>
      <c r="N187" s="77"/>
      <c r="O187" s="2"/>
      <c r="P187" s="2"/>
      <c r="Q187" s="2"/>
    </row>
    <row r="188" spans="1:17">
      <c r="A188" s="77"/>
      <c r="B188" s="417"/>
      <c r="C188" s="415">
        <f>C154/2+G140/2</f>
        <v>2.3187091920543423</v>
      </c>
      <c r="D188" s="415">
        <f>D154/2+F140/2</f>
        <v>-65.181290807945658</v>
      </c>
      <c r="E188" s="415"/>
      <c r="F188" s="432"/>
      <c r="G188" s="433"/>
      <c r="H188" s="433"/>
      <c r="I188" s="433"/>
      <c r="J188" s="433"/>
      <c r="K188" s="433"/>
      <c r="L188" s="433"/>
      <c r="M188" s="433"/>
      <c r="N188" s="77"/>
      <c r="O188" s="2"/>
      <c r="P188" s="2"/>
      <c r="Q188" s="2"/>
    </row>
    <row r="189" spans="1:17">
      <c r="A189" s="77"/>
      <c r="B189" s="23"/>
      <c r="C189" s="285">
        <f>IF($N$179=0,0,C187-$N$179*(C187-D187))</f>
        <v>0</v>
      </c>
      <c r="D189" s="285">
        <f>IF(C189=0,0,D187)</f>
        <v>0</v>
      </c>
      <c r="E189" s="285"/>
      <c r="F189" s="434"/>
      <c r="G189" s="223"/>
      <c r="H189" s="223"/>
      <c r="I189" s="223"/>
      <c r="J189" s="223"/>
      <c r="K189" s="223"/>
      <c r="L189" s="223"/>
      <c r="M189" s="223"/>
      <c r="N189" s="77"/>
      <c r="O189" s="2"/>
      <c r="P189" s="2"/>
      <c r="Q189" s="2"/>
    </row>
    <row r="190" spans="1:17">
      <c r="A190" s="77"/>
      <c r="B190" s="25"/>
      <c r="C190" s="418">
        <f>IF($N$179=0,0,C188-$N$179*(C188-D188))</f>
        <v>0</v>
      </c>
      <c r="D190" s="418">
        <f>IF(C190=0,0,D188)</f>
        <v>0</v>
      </c>
      <c r="E190" s="418"/>
      <c r="F190" s="435"/>
      <c r="G190" s="224"/>
      <c r="H190" s="224"/>
      <c r="I190" s="224"/>
      <c r="J190" s="224"/>
      <c r="K190" s="224"/>
      <c r="L190" s="224"/>
      <c r="M190" s="224"/>
      <c r="N190" s="77"/>
      <c r="O190" s="2"/>
      <c r="P190" s="2"/>
      <c r="Q190" s="2"/>
    </row>
    <row r="191" spans="1:17">
      <c r="A191" s="77"/>
      <c r="B191" s="77"/>
      <c r="C191" s="77"/>
      <c r="D191" s="77"/>
      <c r="E191" s="77"/>
      <c r="F191" s="77"/>
      <c r="G191" s="77"/>
      <c r="H191" s="77"/>
      <c r="I191" s="77"/>
      <c r="J191" s="77"/>
      <c r="K191" s="77"/>
      <c r="L191" s="77"/>
      <c r="M191" s="77"/>
      <c r="N191" s="77"/>
      <c r="O191" s="2"/>
      <c r="P191" s="2"/>
      <c r="Q191" s="2"/>
    </row>
    <row r="192" spans="1:17">
      <c r="F192" s="83"/>
      <c r="G192" s="83"/>
      <c r="H192" s="83"/>
      <c r="I192" s="83"/>
      <c r="J192" s="83"/>
      <c r="K192" s="83"/>
      <c r="L192" s="83"/>
      <c r="M192" s="83"/>
    </row>
  </sheetData>
  <phoneticPr fontId="0" type="noConversion"/>
  <pageMargins left="0.75" right="0.75" top="1" bottom="1" header="0.5" footer="0.5"/>
  <pageSetup paperSize="9" scale="51" fitToHeight="5" orientation="landscape" horizontalDpi="4294967295" verticalDpi="4294967295" r:id="rId1"/>
  <headerFooter alignWithMargins="0"/>
  <rowBreaks count="3" manualBreakCount="3">
    <brk id="55" max="17" man="1"/>
    <brk id="100" max="17" man="1"/>
    <brk id="133" max="17" man="1"/>
  </rowBreaks>
  <drawing r:id="rId2"/>
  <picture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indexed="53"/>
  </sheetPr>
  <dimension ref="A1:N22"/>
  <sheetViews>
    <sheetView showGridLines="0" zoomScaleNormal="100" workbookViewId="0"/>
  </sheetViews>
  <sheetFormatPr defaultRowHeight="15"/>
  <cols>
    <col min="1" max="1" width="3" customWidth="1"/>
    <col min="2" max="2" width="8.77734375" bestFit="1" customWidth="1"/>
    <col min="3" max="3" width="10.88671875" bestFit="1" customWidth="1"/>
    <col min="4" max="4" width="10.21875" bestFit="1" customWidth="1"/>
    <col min="5" max="5" width="17.6640625" customWidth="1"/>
    <col min="8" max="8" width="3.77734375" customWidth="1"/>
    <col min="9" max="9" width="25" customWidth="1"/>
    <col min="10" max="10" width="7.21875" bestFit="1" customWidth="1"/>
    <col min="11" max="11" width="4.109375" style="19" bestFit="1" customWidth="1"/>
    <col min="12" max="12" width="7.21875" bestFit="1" customWidth="1"/>
    <col min="13" max="13" width="4.109375" style="204" bestFit="1" customWidth="1"/>
  </cols>
  <sheetData>
    <row r="1" spans="1:14" ht="19.5" thickBot="1">
      <c r="A1" s="438"/>
      <c r="B1" s="439"/>
      <c r="C1" s="439"/>
      <c r="D1" s="439"/>
      <c r="E1" s="439"/>
      <c r="F1" s="439"/>
      <c r="G1" s="439"/>
      <c r="H1" s="378"/>
      <c r="I1" s="2"/>
      <c r="J1" s="2"/>
      <c r="K1" s="5"/>
      <c r="L1" s="2"/>
      <c r="M1" s="441"/>
    </row>
    <row r="2" spans="1:14" ht="18">
      <c r="A2" s="440"/>
      <c r="B2" s="472" t="str">
        <f>INTERNAL!C5</f>
        <v>PUNCHING SHEAR to BS EN 1992-1: 2004</v>
      </c>
      <c r="C2" s="473"/>
      <c r="D2" s="473"/>
      <c r="E2" s="473"/>
      <c r="F2" s="473"/>
      <c r="G2" s="474"/>
      <c r="H2" s="379"/>
      <c r="I2" s="2"/>
      <c r="J2" s="2"/>
      <c r="K2" s="5"/>
      <c r="L2" s="2"/>
      <c r="M2" s="441"/>
    </row>
    <row r="3" spans="1:14" ht="30.75">
      <c r="A3" s="440"/>
      <c r="B3" s="475" t="s">
        <v>243</v>
      </c>
      <c r="C3" s="476"/>
      <c r="D3" s="477"/>
      <c r="E3" s="478"/>
      <c r="F3" s="478"/>
      <c r="G3" s="479"/>
      <c r="H3" s="379"/>
      <c r="I3" s="2"/>
      <c r="J3" s="2"/>
      <c r="K3" s="5"/>
      <c r="L3" s="2"/>
      <c r="M3" s="441"/>
    </row>
    <row r="4" spans="1:14" ht="18.75" thickBot="1">
      <c r="A4" s="440"/>
      <c r="B4" s="480" t="str">
        <f ca="1">EDGE!C6</f>
        <v>Originated from TCC13.xlsm v4.16 on CD                © 2003-19 TCC</v>
      </c>
      <c r="C4" s="481"/>
      <c r="D4" s="482"/>
      <c r="E4" s="482"/>
      <c r="F4" s="482"/>
      <c r="G4" s="483"/>
      <c r="H4" s="379"/>
      <c r="I4" s="2"/>
      <c r="J4" s="2"/>
      <c r="K4" s="5"/>
      <c r="L4" s="2"/>
      <c r="M4" s="441"/>
    </row>
    <row r="5" spans="1:14" ht="18">
      <c r="A5" s="440"/>
      <c r="B5" s="205"/>
      <c r="C5" s="205"/>
      <c r="D5" s="207"/>
      <c r="E5" s="207"/>
      <c r="F5" s="207"/>
      <c r="G5" s="207"/>
      <c r="H5" s="379"/>
      <c r="I5" s="2"/>
      <c r="J5" s="2"/>
      <c r="K5" s="5"/>
      <c r="L5" s="2"/>
      <c r="M5" s="441"/>
    </row>
    <row r="6" spans="1:14" ht="18">
      <c r="A6" s="440"/>
      <c r="B6" s="443" t="s">
        <v>206</v>
      </c>
      <c r="C6" s="443" t="s">
        <v>207</v>
      </c>
      <c r="D6" s="443" t="s">
        <v>208</v>
      </c>
      <c r="E6" s="77"/>
      <c r="F6" s="77"/>
      <c r="G6" s="77"/>
      <c r="H6" s="379"/>
      <c r="I6" s="2"/>
      <c r="J6" s="748" t="s">
        <v>209</v>
      </c>
      <c r="K6" s="749"/>
      <c r="L6" s="748" t="s">
        <v>210</v>
      </c>
      <c r="M6" s="749"/>
    </row>
    <row r="7" spans="1:14" ht="19.5">
      <c r="A7" s="440"/>
      <c r="B7" s="137" t="s">
        <v>211</v>
      </c>
      <c r="C7" s="442" t="s">
        <v>244</v>
      </c>
      <c r="D7" s="209">
        <v>1.5</v>
      </c>
      <c r="E7" s="444" t="s">
        <v>212</v>
      </c>
      <c r="F7" s="77"/>
      <c r="G7" s="77"/>
      <c r="H7" s="440"/>
      <c r="I7" s="2"/>
      <c r="J7" s="447">
        <v>1.5</v>
      </c>
      <c r="K7" s="448"/>
      <c r="L7" s="447">
        <v>1.5</v>
      </c>
      <c r="M7" s="449"/>
    </row>
    <row r="8" spans="1:14" ht="19.5">
      <c r="A8" s="440"/>
      <c r="B8" s="137" t="s">
        <v>211</v>
      </c>
      <c r="C8" s="442" t="s">
        <v>245</v>
      </c>
      <c r="D8" s="209">
        <v>1.1499999999999999</v>
      </c>
      <c r="E8" s="444" t="s">
        <v>213</v>
      </c>
      <c r="F8" s="77"/>
      <c r="G8" s="77"/>
      <c r="H8" s="440"/>
      <c r="I8" s="2"/>
      <c r="J8" s="450">
        <v>1.1499999999999999</v>
      </c>
      <c r="K8" s="451"/>
      <c r="L8" s="450">
        <v>1.1499999999999999</v>
      </c>
      <c r="M8" s="452"/>
    </row>
    <row r="9" spans="1:14" ht="19.5">
      <c r="A9" s="440"/>
      <c r="B9" s="137" t="s">
        <v>214</v>
      </c>
      <c r="C9" s="442" t="s">
        <v>246</v>
      </c>
      <c r="D9" s="208">
        <v>1</v>
      </c>
      <c r="E9" s="444" t="s">
        <v>261</v>
      </c>
      <c r="F9" s="77"/>
      <c r="G9" s="77"/>
      <c r="H9" s="440"/>
      <c r="I9" s="2"/>
      <c r="J9" s="450">
        <v>1</v>
      </c>
      <c r="K9" s="451"/>
      <c r="L9" s="450">
        <v>1</v>
      </c>
      <c r="M9" s="452"/>
    </row>
    <row r="10" spans="1:14" ht="19.5">
      <c r="A10" s="440"/>
      <c r="B10" s="137" t="str">
        <f>IF(γRC&lt;=22,"11.6.1 (1)","6.4.4(1)")</f>
        <v>6.4.4(1)</v>
      </c>
      <c r="C10" s="442" t="s">
        <v>247</v>
      </c>
      <c r="D10" s="698">
        <f>IF(γRC&gt;22,0.18,0.15)</f>
        <v>0.18</v>
      </c>
      <c r="E10" s="444" t="s">
        <v>216</v>
      </c>
      <c r="F10" s="77"/>
      <c r="G10" s="77"/>
      <c r="H10" s="440"/>
      <c r="I10" s="2"/>
      <c r="J10" s="450">
        <v>0.18</v>
      </c>
      <c r="K10" s="451"/>
      <c r="L10" s="450">
        <v>0.18</v>
      </c>
      <c r="M10" s="452"/>
    </row>
    <row r="11" spans="1:14" ht="20.25">
      <c r="A11" s="440"/>
      <c r="B11" s="210" t="s">
        <v>215</v>
      </c>
      <c r="C11" s="442" t="s">
        <v>248</v>
      </c>
      <c r="D11" s="699">
        <f>IF(γRC&gt;22,0.035,0.028)</f>
        <v>3.5000000000000003E-2</v>
      </c>
      <c r="E11" s="445" t="s">
        <v>426</v>
      </c>
      <c r="F11" s="77"/>
      <c r="G11" s="77"/>
      <c r="H11" s="440"/>
      <c r="I11" s="2"/>
      <c r="J11" s="450">
        <v>3.5000000000000003E-2</v>
      </c>
      <c r="K11" s="451"/>
      <c r="L11" s="450">
        <v>3.5000000000000003E-2</v>
      </c>
      <c r="M11" s="452"/>
    </row>
    <row r="12" spans="1:14" ht="20.25">
      <c r="A12" s="440"/>
      <c r="B12" s="210" t="s">
        <v>250</v>
      </c>
      <c r="C12" s="442" t="s">
        <v>251</v>
      </c>
      <c r="D12" s="209">
        <v>50</v>
      </c>
      <c r="E12" s="445" t="s">
        <v>427</v>
      </c>
      <c r="F12" s="77"/>
      <c r="G12" s="456" t="str">
        <f>IF(D12&gt;L12,"fck &gt; "&amp;L12&amp;" Mpa on the basis of mix tests in UK.","√")</f>
        <v>√</v>
      </c>
      <c r="H12" s="440"/>
      <c r="I12" s="2"/>
      <c r="J12" s="453">
        <v>90</v>
      </c>
      <c r="K12" s="454"/>
      <c r="L12" s="453">
        <v>50</v>
      </c>
      <c r="M12" s="455" t="s">
        <v>252</v>
      </c>
      <c r="N12" s="446" t="s">
        <v>253</v>
      </c>
    </row>
    <row r="13" spans="1:14" ht="19.5">
      <c r="A13" s="440"/>
      <c r="B13" s="210" t="s">
        <v>434</v>
      </c>
      <c r="C13" s="442" t="s">
        <v>433</v>
      </c>
      <c r="D13" s="565">
        <v>2</v>
      </c>
      <c r="E13" s="445" t="s">
        <v>343</v>
      </c>
      <c r="F13" s="440"/>
      <c r="G13" s="440"/>
      <c r="H13" s="440"/>
      <c r="I13" s="2"/>
      <c r="J13" s="2"/>
      <c r="K13" s="5"/>
      <c r="L13" s="2"/>
      <c r="M13" s="441"/>
    </row>
    <row r="14" spans="1:14" ht="20.25">
      <c r="A14" s="440"/>
      <c r="B14" s="210" t="s">
        <v>342</v>
      </c>
      <c r="C14" s="442" t="s">
        <v>435</v>
      </c>
      <c r="D14" s="565">
        <v>0.5</v>
      </c>
      <c r="E14" s="445" t="s">
        <v>436</v>
      </c>
      <c r="F14" s="440"/>
      <c r="G14" s="440"/>
      <c r="H14" s="440"/>
      <c r="I14" s="2"/>
      <c r="J14" s="2"/>
      <c r="K14" s="5"/>
      <c r="L14" s="2"/>
      <c r="M14" s="441"/>
    </row>
    <row r="15" spans="1:14" ht="20.25">
      <c r="A15" s="2"/>
      <c r="B15" s="137" t="s">
        <v>424</v>
      </c>
      <c r="C15" s="442" t="s">
        <v>423</v>
      </c>
      <c r="D15" s="699">
        <f>IF(γRC&gt;22,1,0.4+0.6*γRC/22)</f>
        <v>1</v>
      </c>
      <c r="E15" s="445" t="s">
        <v>425</v>
      </c>
      <c r="F15" s="2"/>
      <c r="G15" s="2"/>
      <c r="H15" s="2"/>
      <c r="I15" s="2"/>
      <c r="J15" s="2"/>
      <c r="K15" s="5"/>
      <c r="L15" s="2"/>
      <c r="M15" s="441"/>
    </row>
    <row r="16" spans="1:14" ht="18">
      <c r="A16" s="2"/>
      <c r="B16" s="137"/>
      <c r="C16" s="442"/>
      <c r="D16" s="699"/>
      <c r="E16" s="445"/>
      <c r="F16" s="2"/>
      <c r="G16" s="2"/>
      <c r="H16" s="2"/>
      <c r="I16" s="2"/>
      <c r="J16" s="2"/>
      <c r="K16" s="5"/>
      <c r="L16" s="2"/>
      <c r="M16" s="441"/>
    </row>
    <row r="17" spans="1:13" ht="18">
      <c r="A17" s="2"/>
      <c r="B17" s="137"/>
      <c r="C17" s="442"/>
      <c r="D17" s="699"/>
      <c r="E17" s="445"/>
      <c r="F17" s="2"/>
      <c r="G17" s="2"/>
      <c r="H17" s="2"/>
      <c r="I17" s="2"/>
      <c r="J17" s="2"/>
      <c r="K17" s="5"/>
      <c r="L17" s="2"/>
      <c r="M17" s="441"/>
    </row>
    <row r="18" spans="1:13" ht="18">
      <c r="A18" s="2"/>
      <c r="B18" s="137"/>
      <c r="C18" s="442"/>
      <c r="D18" s="699"/>
      <c r="E18" s="445"/>
      <c r="F18" s="2"/>
      <c r="G18" s="2"/>
      <c r="H18" s="2"/>
      <c r="I18" s="2"/>
      <c r="J18" s="2"/>
      <c r="K18" s="5"/>
      <c r="L18" s="2"/>
      <c r="M18" s="441"/>
    </row>
    <row r="19" spans="1:13" ht="18">
      <c r="B19" s="137"/>
      <c r="C19" s="442"/>
      <c r="D19" s="699"/>
      <c r="E19" s="445"/>
    </row>
    <row r="20" spans="1:13">
      <c r="B20" s="137"/>
    </row>
    <row r="21" spans="1:13">
      <c r="B21" s="137"/>
    </row>
    <row r="22" spans="1:13">
      <c r="B22" s="137"/>
    </row>
  </sheetData>
  <mergeCells count="2">
    <mergeCell ref="J6:K6"/>
    <mergeCell ref="L6:M6"/>
  </mergeCells>
  <phoneticPr fontId="0" type="noConversion"/>
  <conditionalFormatting sqref="B15:F15">
    <cfRule type="expression" dxfId="0" priority="1">
      <formula>γRC&gt;22</formula>
    </cfRule>
  </conditionalFormatting>
  <pageMargins left="0.75" right="0.75" top="1" bottom="1" header="0.5" footer="0.5"/>
  <pageSetup paperSize="9" scale="70" orientation="landscape" r:id="rId1"/>
  <headerFooter alignWithMargins="0"/>
  <drawing r:id="rId2"/>
  <picture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indexed="53"/>
  </sheetPr>
  <dimension ref="A1:O68"/>
  <sheetViews>
    <sheetView showGridLines="0" topLeftCell="A19" zoomScaleNormal="100" workbookViewId="0"/>
  </sheetViews>
  <sheetFormatPr defaultColWidth="8.88671875" defaultRowHeight="15.75"/>
  <cols>
    <col min="1" max="1" width="2.6640625" style="569" customWidth="1"/>
    <col min="2" max="3" width="8.88671875" style="569" customWidth="1"/>
    <col min="4" max="4" width="49.77734375" style="569" customWidth="1"/>
    <col min="5" max="5" width="7.77734375" style="569" customWidth="1"/>
    <col min="6" max="6" width="5.77734375" style="569" customWidth="1"/>
    <col min="7" max="7" width="8.21875" style="569" customWidth="1"/>
    <col min="8" max="10" width="8.88671875" style="569" customWidth="1"/>
    <col min="11" max="11" width="7.77734375" style="569" bestFit="1" customWidth="1"/>
    <col min="12" max="13" width="8.88671875" style="569" customWidth="1"/>
    <col min="14" max="14" width="7.21875" style="569" bestFit="1" customWidth="1"/>
    <col min="15" max="16384" width="8.88671875" style="569"/>
  </cols>
  <sheetData>
    <row r="1" spans="1:15" ht="18">
      <c r="A1" s="604" t="str">
        <f>INTERNAL!A1</f>
        <v>4.16</v>
      </c>
      <c r="B1" s="566"/>
      <c r="C1" s="566"/>
      <c r="D1" s="566"/>
      <c r="E1" s="566"/>
      <c r="F1" s="566"/>
      <c r="G1" s="567"/>
      <c r="H1" s="567"/>
      <c r="I1" s="567"/>
      <c r="J1" s="568"/>
      <c r="K1" s="568"/>
      <c r="L1" s="568"/>
      <c r="M1" s="568"/>
      <c r="N1" s="568"/>
      <c r="O1" s="568"/>
    </row>
    <row r="2" spans="1:15" ht="21.6" customHeight="1">
      <c r="A2" s="566"/>
      <c r="B2" s="570" t="s">
        <v>47</v>
      </c>
      <c r="C2" s="571"/>
      <c r="D2" s="571"/>
      <c r="E2" s="571"/>
      <c r="F2" s="567"/>
      <c r="G2" s="572"/>
      <c r="H2" s="573"/>
      <c r="I2" s="572"/>
      <c r="J2" s="574"/>
      <c r="K2" s="575"/>
      <c r="L2" s="576"/>
      <c r="M2" s="576"/>
      <c r="N2" s="576"/>
      <c r="O2" s="576"/>
    </row>
    <row r="3" spans="1:15" ht="21.6" customHeight="1">
      <c r="A3" s="566"/>
      <c r="B3" s="751" t="s">
        <v>354</v>
      </c>
      <c r="C3" s="752"/>
      <c r="D3" s="752"/>
      <c r="E3" s="752"/>
      <c r="F3" s="567"/>
      <c r="G3" s="577"/>
      <c r="H3" s="577"/>
      <c r="I3" s="577"/>
      <c r="J3" s="578"/>
      <c r="K3" s="579"/>
      <c r="L3" s="578"/>
      <c r="M3" s="578"/>
      <c r="N3" s="578"/>
      <c r="O3" s="578"/>
    </row>
    <row r="4" spans="1:15" ht="21.6" customHeight="1">
      <c r="A4" s="566"/>
      <c r="B4" s="752"/>
      <c r="C4" s="752"/>
      <c r="D4" s="752"/>
      <c r="E4" s="752"/>
      <c r="F4" s="567"/>
      <c r="G4" s="577"/>
      <c r="H4" s="577"/>
      <c r="I4" s="577"/>
      <c r="J4" s="578"/>
      <c r="K4" s="578"/>
      <c r="L4" s="578"/>
      <c r="M4" s="578"/>
      <c r="N4" s="578"/>
      <c r="O4" s="580"/>
    </row>
    <row r="5" spans="1:15" ht="21.6" customHeight="1">
      <c r="A5" s="566"/>
      <c r="B5" s="752"/>
      <c r="C5" s="752"/>
      <c r="D5" s="752"/>
      <c r="E5" s="752"/>
      <c r="F5" s="567"/>
      <c r="G5" s="577"/>
      <c r="H5" s="577"/>
      <c r="I5" s="577"/>
      <c r="J5" s="578"/>
      <c r="K5" s="578"/>
      <c r="L5" s="578"/>
      <c r="M5" s="578"/>
      <c r="N5" s="578"/>
      <c r="O5" s="578"/>
    </row>
    <row r="6" spans="1:15" ht="21.6" customHeight="1">
      <c r="A6" s="566"/>
      <c r="B6" s="752"/>
      <c r="C6" s="752"/>
      <c r="D6" s="752"/>
      <c r="E6" s="752"/>
      <c r="F6" s="567"/>
      <c r="G6" s="577"/>
      <c r="H6" s="577"/>
      <c r="I6" s="577"/>
      <c r="J6" s="578"/>
      <c r="K6" s="578"/>
      <c r="L6" s="578"/>
      <c r="M6" s="578"/>
      <c r="N6" s="578"/>
      <c r="O6" s="578"/>
    </row>
    <row r="7" spans="1:15" ht="21.6" customHeight="1">
      <c r="A7" s="566"/>
      <c r="B7" s="752"/>
      <c r="C7" s="752"/>
      <c r="D7" s="752"/>
      <c r="E7" s="752"/>
      <c r="F7" s="567"/>
      <c r="G7" s="577"/>
      <c r="H7" s="577"/>
      <c r="I7" s="577"/>
      <c r="J7" s="578"/>
      <c r="K7" s="578"/>
      <c r="L7" s="578"/>
      <c r="M7" s="578"/>
      <c r="N7" s="578"/>
      <c r="O7" s="578"/>
    </row>
    <row r="8" spans="1:15" ht="21.6" customHeight="1">
      <c r="A8" s="566"/>
      <c r="B8" s="752"/>
      <c r="C8" s="752"/>
      <c r="D8" s="752"/>
      <c r="E8" s="752"/>
      <c r="F8" s="567"/>
      <c r="G8" s="577"/>
      <c r="H8" s="577"/>
      <c r="I8" s="577"/>
      <c r="J8" s="578"/>
      <c r="K8" s="578"/>
      <c r="L8" s="578"/>
      <c r="M8" s="578"/>
      <c r="N8" s="578"/>
      <c r="O8" s="578"/>
    </row>
    <row r="9" spans="1:15" ht="34.5" customHeight="1">
      <c r="A9" s="566"/>
      <c r="B9" s="752"/>
      <c r="C9" s="752"/>
      <c r="D9" s="752"/>
      <c r="E9" s="752"/>
      <c r="F9" s="567"/>
      <c r="G9" s="577"/>
      <c r="H9" s="577"/>
      <c r="I9" s="577"/>
      <c r="J9" s="578"/>
      <c r="K9" s="578"/>
      <c r="L9" s="578"/>
      <c r="M9" s="578"/>
      <c r="N9" s="578"/>
      <c r="O9" s="578"/>
    </row>
    <row r="10" spans="1:15" ht="18">
      <c r="A10" s="566"/>
      <c r="B10" s="752"/>
      <c r="C10" s="752"/>
      <c r="D10" s="752"/>
      <c r="E10" s="752"/>
      <c r="F10" s="567"/>
      <c r="G10" s="566"/>
      <c r="H10" s="566"/>
      <c r="I10" s="566"/>
    </row>
    <row r="11" spans="1:15" ht="19.5" customHeight="1">
      <c r="A11" s="566"/>
      <c r="B11" s="581" t="s">
        <v>48</v>
      </c>
      <c r="C11" s="571"/>
      <c r="D11" s="750" t="s">
        <v>355</v>
      </c>
      <c r="E11" s="750"/>
      <c r="F11" s="567"/>
      <c r="G11" s="577"/>
      <c r="H11" s="577"/>
      <c r="I11" s="577"/>
      <c r="J11" s="578"/>
      <c r="K11" s="578"/>
      <c r="L11" s="578"/>
      <c r="M11" s="578"/>
      <c r="N11" s="578"/>
      <c r="O11" s="578"/>
    </row>
    <row r="12" spans="1:15" ht="18.75">
      <c r="A12" s="566"/>
      <c r="B12" s="582" t="s">
        <v>289</v>
      </c>
      <c r="C12" s="571"/>
      <c r="D12" s="750"/>
      <c r="E12" s="750"/>
      <c r="F12" s="567"/>
      <c r="G12" s="577"/>
      <c r="H12" s="577"/>
      <c r="I12" s="577"/>
      <c r="J12" s="578"/>
      <c r="K12" s="578"/>
      <c r="L12" s="578"/>
      <c r="M12" s="578"/>
      <c r="N12" s="578"/>
      <c r="O12" s="578"/>
    </row>
    <row r="13" spans="1:15" ht="18.75">
      <c r="A13" s="566"/>
      <c r="B13" s="566"/>
      <c r="C13" s="571"/>
      <c r="D13" s="750"/>
      <c r="E13" s="750"/>
      <c r="F13" s="567"/>
      <c r="G13" s="577"/>
      <c r="H13" s="577"/>
      <c r="I13" s="577"/>
      <c r="J13" s="578"/>
      <c r="K13" s="578"/>
      <c r="L13" s="578"/>
      <c r="M13" s="578"/>
      <c r="N13" s="578"/>
      <c r="O13" s="578"/>
    </row>
    <row r="14" spans="1:15" ht="18.75">
      <c r="A14" s="566"/>
      <c r="B14" s="566"/>
      <c r="C14" s="571"/>
      <c r="D14" s="583"/>
      <c r="E14" s="583"/>
      <c r="F14" s="567"/>
      <c r="G14" s="577"/>
      <c r="H14" s="577"/>
      <c r="I14" s="577"/>
      <c r="J14" s="578"/>
      <c r="K14" s="578"/>
      <c r="L14" s="578"/>
      <c r="M14" s="578"/>
      <c r="N14" s="578"/>
      <c r="O14" s="578"/>
    </row>
    <row r="15" spans="1:15" ht="18.75" thickBot="1">
      <c r="A15" s="566"/>
      <c r="B15" s="581" t="s">
        <v>350</v>
      </c>
      <c r="C15" s="566"/>
      <c r="D15" s="566"/>
      <c r="E15" s="566"/>
      <c r="F15" s="567"/>
      <c r="G15" s="577"/>
      <c r="H15" s="577"/>
      <c r="I15" s="577"/>
      <c r="J15" s="578"/>
      <c r="K15" s="578"/>
      <c r="L15" s="578"/>
      <c r="M15" s="578"/>
      <c r="N15" s="578"/>
      <c r="O15" s="578"/>
    </row>
    <row r="16" spans="1:15" ht="18.75" thickBot="1">
      <c r="A16" s="566"/>
      <c r="B16" s="584" t="s">
        <v>42</v>
      </c>
      <c r="C16" s="585" t="s">
        <v>43</v>
      </c>
      <c r="D16" s="586" t="s">
        <v>44</v>
      </c>
      <c r="E16" s="587" t="s">
        <v>369</v>
      </c>
      <c r="F16" s="566"/>
      <c r="G16" s="577"/>
      <c r="H16" s="577"/>
      <c r="I16" s="577"/>
      <c r="J16" s="578"/>
      <c r="K16" s="578"/>
      <c r="L16" s="578"/>
      <c r="M16" s="578"/>
      <c r="N16" s="578"/>
      <c r="O16" s="578"/>
    </row>
    <row r="17" spans="1:15" ht="18">
      <c r="A17" s="566"/>
      <c r="B17" s="588">
        <v>42285</v>
      </c>
      <c r="C17" s="589" t="s">
        <v>438</v>
      </c>
      <c r="D17" s="683" t="s">
        <v>439</v>
      </c>
      <c r="E17" s="590">
        <v>814</v>
      </c>
      <c r="F17" s="566"/>
      <c r="G17" s="577"/>
      <c r="H17" s="577"/>
      <c r="I17" s="577"/>
      <c r="J17" s="578"/>
      <c r="K17" s="578"/>
      <c r="L17" s="578"/>
      <c r="M17" s="578"/>
      <c r="N17" s="578"/>
      <c r="O17" s="578"/>
    </row>
    <row r="18" spans="1:15" ht="18">
      <c r="A18" s="566"/>
      <c r="B18" s="595">
        <v>42054</v>
      </c>
      <c r="C18" s="596" t="s">
        <v>431</v>
      </c>
      <c r="D18" s="597" t="s">
        <v>432</v>
      </c>
      <c r="E18" s="598">
        <v>813</v>
      </c>
      <c r="F18" s="566"/>
      <c r="G18" s="577"/>
      <c r="H18" s="577"/>
      <c r="I18" s="577"/>
      <c r="J18" s="578"/>
      <c r="K18" s="578"/>
      <c r="L18" s="578"/>
      <c r="M18" s="578"/>
      <c r="N18" s="578"/>
      <c r="O18" s="578"/>
    </row>
    <row r="19" spans="1:15" ht="34.5">
      <c r="A19" s="566"/>
      <c r="B19" s="595">
        <v>42050</v>
      </c>
      <c r="C19" s="596" t="s">
        <v>412</v>
      </c>
      <c r="D19" s="597" t="s">
        <v>429</v>
      </c>
      <c r="E19" s="598">
        <v>813</v>
      </c>
      <c r="F19" s="566"/>
      <c r="G19" s="577"/>
      <c r="H19" s="577"/>
      <c r="I19" s="577"/>
      <c r="J19" s="578"/>
      <c r="K19" s="578"/>
      <c r="L19" s="578"/>
      <c r="M19" s="578"/>
      <c r="N19" s="578"/>
      <c r="O19" s="578"/>
    </row>
    <row r="20" spans="1:15" ht="18">
      <c r="A20" s="566"/>
      <c r="B20" s="595">
        <v>41927</v>
      </c>
      <c r="C20" s="596" t="s">
        <v>407</v>
      </c>
      <c r="D20" s="597" t="s">
        <v>408</v>
      </c>
      <c r="E20" s="598">
        <v>808</v>
      </c>
      <c r="F20" s="566"/>
      <c r="G20" s="577"/>
      <c r="H20" s="577"/>
      <c r="I20" s="577"/>
      <c r="J20" s="578"/>
      <c r="K20" s="578"/>
      <c r="L20" s="578"/>
      <c r="M20" s="578"/>
      <c r="N20" s="578"/>
      <c r="O20" s="578"/>
    </row>
    <row r="21" spans="1:15" ht="18">
      <c r="A21" s="566"/>
      <c r="B21" s="595">
        <v>41887</v>
      </c>
      <c r="C21" s="596" t="s">
        <v>405</v>
      </c>
      <c r="D21" s="597" t="s">
        <v>406</v>
      </c>
      <c r="E21" s="598">
        <v>807</v>
      </c>
      <c r="F21" s="566"/>
      <c r="G21" s="577"/>
      <c r="H21" s="577"/>
      <c r="I21" s="577"/>
      <c r="J21" s="578"/>
      <c r="K21" s="578"/>
      <c r="L21" s="578"/>
      <c r="M21" s="578"/>
      <c r="N21" s="578"/>
      <c r="O21" s="578"/>
    </row>
    <row r="22" spans="1:15" ht="33">
      <c r="A22" s="566"/>
      <c r="B22" s="595">
        <v>41873</v>
      </c>
      <c r="C22" s="596" t="s">
        <v>401</v>
      </c>
      <c r="D22" s="597" t="s">
        <v>402</v>
      </c>
      <c r="E22" s="598">
        <v>807</v>
      </c>
      <c r="F22" s="566"/>
      <c r="G22" s="577"/>
      <c r="H22" s="577"/>
      <c r="I22" s="577"/>
      <c r="J22" s="578"/>
      <c r="K22" s="578"/>
      <c r="L22" s="578"/>
      <c r="M22" s="578"/>
      <c r="N22" s="578"/>
      <c r="O22" s="578"/>
    </row>
    <row r="23" spans="1:15" ht="18">
      <c r="A23" s="566"/>
      <c r="B23" s="595">
        <v>41853</v>
      </c>
      <c r="C23" s="596" t="s">
        <v>386</v>
      </c>
      <c r="D23" s="597" t="s">
        <v>387</v>
      </c>
      <c r="E23" s="598">
        <v>799</v>
      </c>
      <c r="F23" s="566"/>
      <c r="G23" s="577"/>
      <c r="H23" s="577"/>
      <c r="I23" s="577"/>
      <c r="J23" s="578"/>
      <c r="K23" s="578"/>
      <c r="L23" s="578"/>
      <c r="M23" s="578"/>
      <c r="N23" s="578"/>
      <c r="O23" s="578"/>
    </row>
    <row r="24" spans="1:15" ht="33">
      <c r="A24" s="566"/>
      <c r="B24" s="591">
        <v>41445</v>
      </c>
      <c r="C24" s="592" t="s">
        <v>383</v>
      </c>
      <c r="D24" s="593" t="s">
        <v>384</v>
      </c>
      <c r="E24" s="594">
        <v>798</v>
      </c>
      <c r="F24" s="566"/>
      <c r="G24" s="577"/>
      <c r="H24" s="577"/>
      <c r="I24" s="577"/>
      <c r="J24" s="578"/>
      <c r="K24" s="578"/>
      <c r="L24" s="578"/>
      <c r="M24" s="578"/>
      <c r="N24" s="578"/>
      <c r="O24" s="578"/>
    </row>
    <row r="25" spans="1:15" ht="33">
      <c r="A25" s="566"/>
      <c r="B25" s="591">
        <v>41410</v>
      </c>
      <c r="C25" s="592" t="s">
        <v>378</v>
      </c>
      <c r="D25" s="593" t="s">
        <v>382</v>
      </c>
      <c r="E25" s="594">
        <v>798</v>
      </c>
      <c r="F25" s="566"/>
      <c r="G25" s="577"/>
      <c r="H25" s="577"/>
      <c r="I25" s="577"/>
      <c r="J25" s="578"/>
      <c r="K25" s="578"/>
      <c r="L25" s="578"/>
      <c r="M25" s="578"/>
      <c r="N25" s="578"/>
      <c r="O25" s="578"/>
    </row>
    <row r="26" spans="1:15" ht="33">
      <c r="A26" s="566"/>
      <c r="B26" s="591">
        <v>41388</v>
      </c>
      <c r="C26" s="592" t="s">
        <v>373</v>
      </c>
      <c r="D26" s="593" t="s">
        <v>374</v>
      </c>
      <c r="E26" s="594">
        <v>796</v>
      </c>
      <c r="F26" s="566"/>
      <c r="G26" s="577"/>
      <c r="H26" s="577"/>
      <c r="I26" s="577"/>
      <c r="J26" s="578"/>
      <c r="K26" s="578"/>
      <c r="L26" s="578"/>
      <c r="M26" s="578"/>
      <c r="N26" s="578"/>
      <c r="O26" s="578"/>
    </row>
    <row r="27" spans="1:15" ht="18">
      <c r="A27" s="566"/>
      <c r="B27" s="591">
        <v>41202</v>
      </c>
      <c r="C27" s="592" t="s">
        <v>370</v>
      </c>
      <c r="D27" s="593" t="s">
        <v>371</v>
      </c>
      <c r="E27" s="594">
        <v>853</v>
      </c>
      <c r="F27" s="566"/>
      <c r="G27" s="577"/>
      <c r="H27" s="577"/>
      <c r="I27" s="577"/>
      <c r="J27" s="578"/>
      <c r="K27" s="578"/>
      <c r="L27" s="578"/>
      <c r="M27" s="578"/>
      <c r="N27" s="578"/>
      <c r="O27" s="578"/>
    </row>
    <row r="28" spans="1:15" ht="18">
      <c r="A28" s="566"/>
      <c r="B28" s="595">
        <v>41113</v>
      </c>
      <c r="C28" s="596" t="s">
        <v>366</v>
      </c>
      <c r="D28" s="597" t="s">
        <v>367</v>
      </c>
      <c r="E28" s="598" t="s">
        <v>368</v>
      </c>
      <c r="F28" s="566"/>
      <c r="G28" s="577"/>
      <c r="H28" s="577"/>
      <c r="I28" s="577"/>
      <c r="J28" s="578"/>
      <c r="K28" s="578"/>
      <c r="L28" s="578"/>
      <c r="M28" s="578"/>
      <c r="N28" s="578"/>
      <c r="O28" s="578"/>
    </row>
    <row r="29" spans="1:15" ht="18">
      <c r="A29" s="566"/>
      <c r="B29" s="591">
        <v>40864</v>
      </c>
      <c r="C29" s="592" t="s">
        <v>364</v>
      </c>
      <c r="D29" s="593" t="s">
        <v>365</v>
      </c>
      <c r="E29" s="594">
        <v>1452</v>
      </c>
      <c r="F29" s="566"/>
      <c r="G29" s="577"/>
      <c r="H29" s="577"/>
      <c r="I29" s="577"/>
      <c r="J29" s="578"/>
      <c r="K29" s="578"/>
      <c r="L29" s="578"/>
      <c r="M29" s="578"/>
      <c r="N29" s="578"/>
      <c r="O29" s="578"/>
    </row>
    <row r="30" spans="1:15" ht="18">
      <c r="A30" s="566"/>
      <c r="B30" s="591">
        <v>40840</v>
      </c>
      <c r="C30" s="592" t="s">
        <v>362</v>
      </c>
      <c r="D30" s="593" t="s">
        <v>363</v>
      </c>
      <c r="E30" s="594">
        <v>1451</v>
      </c>
      <c r="F30" s="566"/>
      <c r="G30" s="577"/>
      <c r="H30" s="577"/>
      <c r="I30" s="577"/>
      <c r="J30" s="578"/>
      <c r="K30" s="578"/>
      <c r="L30" s="578"/>
      <c r="M30" s="578"/>
      <c r="N30" s="578"/>
      <c r="O30" s="578"/>
    </row>
    <row r="31" spans="1:15" ht="18">
      <c r="A31" s="566"/>
      <c r="B31" s="595">
        <v>40732</v>
      </c>
      <c r="C31" s="596" t="s">
        <v>360</v>
      </c>
      <c r="D31" s="597" t="s">
        <v>361</v>
      </c>
      <c r="E31" s="598">
        <v>1449</v>
      </c>
      <c r="F31" s="566"/>
      <c r="G31" s="577"/>
      <c r="H31" s="577"/>
      <c r="I31" s="577"/>
      <c r="J31" s="578"/>
      <c r="K31" s="578"/>
      <c r="L31" s="578"/>
      <c r="M31" s="578"/>
      <c r="N31" s="578"/>
      <c r="O31" s="578"/>
    </row>
    <row r="32" spans="1:15" ht="36">
      <c r="A32" s="566"/>
      <c r="B32" s="595">
        <v>40469</v>
      </c>
      <c r="C32" s="596" t="s">
        <v>358</v>
      </c>
      <c r="D32" s="597" t="s">
        <v>359</v>
      </c>
      <c r="E32" s="598">
        <v>1449</v>
      </c>
      <c r="F32" s="566"/>
      <c r="G32" s="577"/>
      <c r="H32" s="577"/>
      <c r="I32" s="577"/>
      <c r="J32" s="578"/>
      <c r="K32" s="578"/>
      <c r="L32" s="578"/>
      <c r="M32" s="578"/>
      <c r="N32" s="578"/>
      <c r="O32" s="578"/>
    </row>
    <row r="33" spans="1:15" ht="18">
      <c r="A33" s="566"/>
      <c r="B33" s="591">
        <v>40245</v>
      </c>
      <c r="C33" s="592" t="s">
        <v>346</v>
      </c>
      <c r="D33" s="593" t="s">
        <v>349</v>
      </c>
      <c r="E33" s="594">
        <v>1400</v>
      </c>
      <c r="F33" s="566"/>
      <c r="G33" s="577"/>
      <c r="H33" s="577"/>
      <c r="I33" s="577"/>
      <c r="J33" s="578"/>
      <c r="K33" s="578"/>
      <c r="L33" s="578"/>
      <c r="M33" s="578"/>
      <c r="N33" s="578"/>
      <c r="O33" s="578"/>
    </row>
    <row r="34" spans="1:15" ht="18">
      <c r="A34" s="566"/>
      <c r="B34" s="591">
        <v>40241</v>
      </c>
      <c r="C34" s="592" t="s">
        <v>345</v>
      </c>
      <c r="D34" s="593" t="s">
        <v>379</v>
      </c>
      <c r="E34" s="594">
        <v>1376</v>
      </c>
      <c r="F34" s="566"/>
      <c r="G34" s="577"/>
      <c r="H34" s="577"/>
      <c r="I34" s="577"/>
      <c r="J34" s="578"/>
      <c r="K34" s="578"/>
      <c r="L34" s="578"/>
      <c r="M34" s="578"/>
      <c r="N34" s="578"/>
      <c r="O34" s="578"/>
    </row>
    <row r="35" spans="1:15" ht="18">
      <c r="A35" s="566"/>
      <c r="B35" s="591">
        <v>40075</v>
      </c>
      <c r="C35" s="592" t="s">
        <v>298</v>
      </c>
      <c r="D35" s="593" t="s">
        <v>344</v>
      </c>
      <c r="E35" s="594">
        <v>1372</v>
      </c>
      <c r="F35" s="566"/>
      <c r="G35" s="577"/>
      <c r="H35" s="577"/>
      <c r="I35" s="577"/>
      <c r="J35" s="578"/>
      <c r="K35" s="578"/>
      <c r="L35" s="578"/>
      <c r="M35" s="578"/>
      <c r="N35" s="578"/>
      <c r="O35" s="578"/>
    </row>
    <row r="36" spans="1:15" ht="18">
      <c r="A36" s="566"/>
      <c r="B36" s="591">
        <v>40060</v>
      </c>
      <c r="C36" s="592" t="s">
        <v>296</v>
      </c>
      <c r="D36" s="593" t="s">
        <v>297</v>
      </c>
      <c r="E36" s="594">
        <v>1349</v>
      </c>
      <c r="F36" s="566"/>
      <c r="G36" s="577"/>
      <c r="H36" s="577"/>
      <c r="I36" s="577"/>
      <c r="J36" s="578"/>
      <c r="K36" s="578"/>
      <c r="L36" s="578"/>
      <c r="M36" s="578"/>
      <c r="N36" s="578"/>
      <c r="O36" s="578"/>
    </row>
    <row r="37" spans="1:15" ht="33">
      <c r="A37" s="566"/>
      <c r="B37" s="591">
        <v>39974</v>
      </c>
      <c r="C37" s="592" t="s">
        <v>294</v>
      </c>
      <c r="D37" s="593" t="s">
        <v>295</v>
      </c>
      <c r="E37" s="594">
        <v>1350</v>
      </c>
      <c r="F37" s="566"/>
      <c r="G37" s="577"/>
      <c r="H37" s="577"/>
      <c r="I37" s="577"/>
      <c r="J37" s="578"/>
      <c r="K37" s="578"/>
      <c r="L37" s="578"/>
      <c r="M37" s="578"/>
      <c r="N37" s="578"/>
      <c r="O37" s="578"/>
    </row>
    <row r="38" spans="1:15" ht="18">
      <c r="A38" s="566"/>
      <c r="B38" s="591">
        <v>39932</v>
      </c>
      <c r="C38" s="592" t="s">
        <v>291</v>
      </c>
      <c r="D38" s="593" t="s">
        <v>351</v>
      </c>
      <c r="E38" s="594">
        <v>1348</v>
      </c>
      <c r="F38" s="566"/>
      <c r="G38" s="577"/>
      <c r="H38" s="577"/>
      <c r="I38" s="577"/>
      <c r="J38" s="578"/>
      <c r="K38" s="578"/>
      <c r="L38" s="578"/>
      <c r="M38" s="578"/>
      <c r="N38" s="578"/>
      <c r="O38" s="578"/>
    </row>
    <row r="39" spans="1:15" ht="33">
      <c r="A39" s="566"/>
      <c r="B39" s="591">
        <v>39799</v>
      </c>
      <c r="C39" s="592" t="s">
        <v>292</v>
      </c>
      <c r="D39" s="593" t="s">
        <v>290</v>
      </c>
      <c r="E39" s="594">
        <v>1347</v>
      </c>
      <c r="F39" s="566"/>
      <c r="G39" s="577"/>
      <c r="H39" s="577"/>
      <c r="I39" s="577"/>
      <c r="J39" s="578"/>
      <c r="K39" s="578"/>
      <c r="L39" s="578"/>
      <c r="M39" s="578"/>
      <c r="N39" s="578"/>
      <c r="O39" s="578"/>
    </row>
    <row r="40" spans="1:15" ht="33">
      <c r="A40" s="566"/>
      <c r="B40" s="591">
        <v>39640</v>
      </c>
      <c r="C40" s="592" t="s">
        <v>293</v>
      </c>
      <c r="D40" s="593" t="s">
        <v>288</v>
      </c>
      <c r="E40" s="594">
        <v>1328</v>
      </c>
      <c r="F40" s="566"/>
      <c r="G40" s="577"/>
      <c r="H40" s="577"/>
      <c r="I40" s="577"/>
      <c r="J40" s="578"/>
      <c r="K40" s="578"/>
      <c r="L40" s="578"/>
      <c r="M40" s="578"/>
      <c r="N40" s="578"/>
      <c r="O40" s="578"/>
    </row>
    <row r="41" spans="1:15" ht="33">
      <c r="A41" s="566"/>
      <c r="B41" s="591">
        <v>39373</v>
      </c>
      <c r="C41" s="592" t="s">
        <v>284</v>
      </c>
      <c r="D41" s="593" t="s">
        <v>278</v>
      </c>
      <c r="E41" s="594">
        <v>1307</v>
      </c>
      <c r="F41" s="566"/>
      <c r="G41" s="577"/>
      <c r="H41" s="577"/>
      <c r="I41" s="577"/>
      <c r="J41" s="578"/>
      <c r="K41" s="578"/>
      <c r="L41" s="578"/>
      <c r="M41" s="578"/>
      <c r="N41" s="578"/>
      <c r="O41" s="578"/>
    </row>
    <row r="42" spans="1:15" ht="18">
      <c r="A42" s="566"/>
      <c r="B42" s="591">
        <v>39248</v>
      </c>
      <c r="C42" s="592" t="s">
        <v>285</v>
      </c>
      <c r="D42" s="593" t="s">
        <v>270</v>
      </c>
      <c r="E42" s="594">
        <v>1261</v>
      </c>
      <c r="F42" s="566"/>
      <c r="G42" s="577"/>
      <c r="H42" s="577"/>
      <c r="I42" s="577"/>
      <c r="J42" s="578"/>
      <c r="K42" s="578"/>
      <c r="L42" s="578"/>
      <c r="M42" s="578"/>
      <c r="N42" s="578"/>
      <c r="O42" s="578"/>
    </row>
    <row r="43" spans="1:15" ht="18">
      <c r="A43" s="566"/>
      <c r="B43" s="591">
        <v>39121</v>
      </c>
      <c r="C43" s="592" t="s">
        <v>286</v>
      </c>
      <c r="D43" s="593" t="s">
        <v>269</v>
      </c>
      <c r="E43" s="594">
        <v>1265</v>
      </c>
      <c r="F43" s="566"/>
      <c r="G43" s="577"/>
      <c r="H43" s="577"/>
      <c r="I43" s="577"/>
      <c r="J43" s="578"/>
      <c r="K43" s="578"/>
      <c r="L43" s="578"/>
      <c r="M43" s="578"/>
      <c r="N43" s="578"/>
      <c r="O43" s="578"/>
    </row>
    <row r="44" spans="1:15" ht="18">
      <c r="A44" s="566"/>
      <c r="B44" s="591">
        <v>38896</v>
      </c>
      <c r="C44" s="592" t="s">
        <v>287</v>
      </c>
      <c r="D44" s="593" t="s">
        <v>264</v>
      </c>
      <c r="E44" s="594">
        <v>1230</v>
      </c>
      <c r="F44" s="566"/>
      <c r="G44" s="577"/>
      <c r="H44" s="577"/>
      <c r="I44" s="577"/>
      <c r="J44" s="578"/>
      <c r="K44" s="578"/>
      <c r="L44" s="578"/>
      <c r="M44" s="578"/>
      <c r="N44" s="578"/>
      <c r="O44" s="578"/>
    </row>
    <row r="45" spans="1:15" ht="18">
      <c r="A45" s="566"/>
      <c r="B45" s="595">
        <v>38793</v>
      </c>
      <c r="C45" s="596" t="s">
        <v>262</v>
      </c>
      <c r="D45" s="597" t="s">
        <v>352</v>
      </c>
      <c r="E45" s="598">
        <v>1283</v>
      </c>
      <c r="F45" s="566"/>
      <c r="G45" s="577"/>
      <c r="H45" s="577"/>
      <c r="I45" s="577"/>
      <c r="J45" s="578"/>
      <c r="K45" s="578"/>
      <c r="L45" s="578"/>
      <c r="M45" s="578"/>
      <c r="N45" s="578"/>
      <c r="O45" s="578"/>
    </row>
    <row r="46" spans="1:15" ht="18">
      <c r="A46" s="566"/>
      <c r="B46" s="595">
        <v>38476</v>
      </c>
      <c r="C46" s="596" t="s">
        <v>255</v>
      </c>
      <c r="D46" s="597" t="s">
        <v>353</v>
      </c>
      <c r="E46" s="598">
        <v>1298</v>
      </c>
      <c r="F46" s="566"/>
      <c r="G46" s="577"/>
      <c r="H46" s="577"/>
      <c r="I46" s="577"/>
      <c r="J46" s="578"/>
      <c r="K46" s="578"/>
      <c r="L46" s="578"/>
      <c r="M46" s="578"/>
      <c r="N46" s="578"/>
      <c r="O46" s="578"/>
    </row>
    <row r="47" spans="1:15" ht="18">
      <c r="A47" s="566"/>
      <c r="B47" s="595">
        <v>38290</v>
      </c>
      <c r="C47" s="596" t="s">
        <v>231</v>
      </c>
      <c r="D47" s="597" t="s">
        <v>238</v>
      </c>
      <c r="E47" s="598">
        <v>645</v>
      </c>
      <c r="F47" s="566"/>
      <c r="G47" s="577"/>
      <c r="H47" s="577"/>
      <c r="I47" s="577"/>
      <c r="J47" s="578"/>
      <c r="K47" s="578"/>
      <c r="L47" s="578"/>
      <c r="M47" s="578"/>
      <c r="N47" s="578"/>
      <c r="O47" s="578"/>
    </row>
    <row r="48" spans="1:15" ht="33">
      <c r="A48" s="566"/>
      <c r="B48" s="595">
        <v>37677</v>
      </c>
      <c r="C48" s="596" t="s">
        <v>232</v>
      </c>
      <c r="D48" s="597" t="s">
        <v>254</v>
      </c>
      <c r="E48" s="598">
        <v>607</v>
      </c>
      <c r="F48" s="566"/>
      <c r="G48" s="577"/>
      <c r="H48" s="577"/>
      <c r="I48" s="577"/>
      <c r="J48" s="578"/>
      <c r="K48" s="578"/>
      <c r="L48" s="578"/>
      <c r="M48" s="578"/>
      <c r="N48" s="578"/>
      <c r="O48" s="578"/>
    </row>
    <row r="49" spans="1:15" ht="18">
      <c r="A49" s="566"/>
      <c r="B49" s="595">
        <v>37671</v>
      </c>
      <c r="C49" s="596" t="s">
        <v>233</v>
      </c>
      <c r="D49" s="597" t="s">
        <v>220</v>
      </c>
      <c r="E49" s="598">
        <v>601</v>
      </c>
      <c r="F49" s="566"/>
      <c r="G49" s="577"/>
      <c r="H49" s="577"/>
      <c r="I49" s="577"/>
      <c r="J49" s="578"/>
      <c r="K49" s="578"/>
      <c r="L49" s="578"/>
      <c r="M49" s="578"/>
      <c r="N49" s="578"/>
      <c r="O49" s="578"/>
    </row>
    <row r="50" spans="1:15" ht="18">
      <c r="A50" s="566"/>
      <c r="B50" s="595">
        <v>37368</v>
      </c>
      <c r="C50" s="596" t="s">
        <v>234</v>
      </c>
      <c r="D50" s="597" t="s">
        <v>205</v>
      </c>
      <c r="E50" s="598">
        <v>610</v>
      </c>
      <c r="F50" s="566"/>
      <c r="G50" s="577"/>
      <c r="H50" s="577"/>
      <c r="I50" s="577"/>
      <c r="J50" s="578"/>
      <c r="K50" s="578"/>
      <c r="L50" s="578"/>
      <c r="M50" s="578"/>
      <c r="N50" s="578"/>
      <c r="O50" s="578"/>
    </row>
    <row r="51" spans="1:15" ht="18">
      <c r="A51" s="566"/>
      <c r="B51" s="595">
        <v>37287</v>
      </c>
      <c r="C51" s="596" t="s">
        <v>235</v>
      </c>
      <c r="D51" s="597" t="s">
        <v>177</v>
      </c>
      <c r="E51" s="598">
        <v>560</v>
      </c>
      <c r="F51" s="566"/>
      <c r="G51" s="577"/>
      <c r="H51" s="577"/>
      <c r="I51" s="577"/>
      <c r="J51" s="578"/>
      <c r="K51" s="578"/>
      <c r="L51" s="578"/>
      <c r="M51" s="578"/>
      <c r="N51" s="578"/>
      <c r="O51" s="578"/>
    </row>
    <row r="52" spans="1:15" ht="18">
      <c r="A52" s="566"/>
      <c r="B52" s="595">
        <v>37139</v>
      </c>
      <c r="C52" s="596" t="s">
        <v>236</v>
      </c>
      <c r="D52" s="597" t="s">
        <v>89</v>
      </c>
      <c r="E52" s="598">
        <v>434</v>
      </c>
      <c r="F52" s="566"/>
      <c r="G52" s="577"/>
      <c r="H52" s="577"/>
      <c r="I52" s="577"/>
      <c r="J52" s="578"/>
      <c r="K52" s="578"/>
      <c r="L52" s="578"/>
      <c r="M52" s="578"/>
      <c r="N52" s="578"/>
      <c r="O52" s="578"/>
    </row>
    <row r="53" spans="1:15" ht="18.75" thickBot="1">
      <c r="A53" s="566"/>
      <c r="B53" s="599">
        <v>37125</v>
      </c>
      <c r="C53" s="600" t="s">
        <v>237</v>
      </c>
      <c r="D53" s="601" t="s">
        <v>62</v>
      </c>
      <c r="E53" s="602">
        <v>425</v>
      </c>
      <c r="F53" s="566"/>
      <c r="G53" s="577"/>
      <c r="H53" s="577"/>
      <c r="I53" s="577"/>
      <c r="J53" s="578"/>
      <c r="K53" s="578"/>
      <c r="L53" s="578"/>
      <c r="M53" s="578"/>
      <c r="N53" s="578"/>
      <c r="O53" s="578"/>
    </row>
    <row r="54" spans="1:15" ht="18">
      <c r="A54" s="603"/>
      <c r="B54" s="603"/>
      <c r="C54" s="603"/>
      <c r="D54" s="603"/>
      <c r="E54" s="603"/>
      <c r="F54" s="603"/>
      <c r="G54" s="577"/>
      <c r="H54" s="577"/>
      <c r="I54" s="577"/>
      <c r="J54" s="578"/>
      <c r="K54" s="578"/>
      <c r="L54" s="578"/>
      <c r="M54" s="578"/>
      <c r="N54" s="578"/>
    </row>
    <row r="55" spans="1:15" ht="18">
      <c r="B55" s="566"/>
      <c r="C55" s="566"/>
      <c r="D55" s="566"/>
      <c r="E55" s="566"/>
      <c r="G55" s="577"/>
      <c r="H55" s="577"/>
      <c r="I55" s="577"/>
      <c r="J55" s="578"/>
      <c r="K55" s="578"/>
      <c r="L55" s="578"/>
      <c r="M55" s="578"/>
      <c r="N55" s="578"/>
    </row>
    <row r="56" spans="1:15" ht="18">
      <c r="G56" s="577"/>
      <c r="H56" s="577"/>
      <c r="I56" s="577"/>
      <c r="J56" s="578"/>
      <c r="K56" s="578"/>
      <c r="L56" s="578"/>
      <c r="M56" s="578"/>
      <c r="N56" s="578"/>
    </row>
    <row r="57" spans="1:15" ht="18">
      <c r="G57" s="577"/>
      <c r="H57" s="577"/>
      <c r="I57" s="577"/>
      <c r="J57" s="578"/>
      <c r="K57" s="578"/>
      <c r="L57" s="578"/>
      <c r="M57" s="578"/>
      <c r="N57" s="578"/>
    </row>
    <row r="58" spans="1:15" ht="18">
      <c r="G58" s="577"/>
      <c r="H58" s="577"/>
      <c r="I58" s="577"/>
      <c r="J58" s="578"/>
      <c r="K58" s="578"/>
      <c r="L58" s="578"/>
      <c r="M58" s="578"/>
      <c r="N58" s="578"/>
    </row>
    <row r="59" spans="1:15" ht="18">
      <c r="G59" s="577"/>
      <c r="H59" s="577"/>
      <c r="I59" s="577"/>
      <c r="J59" s="578"/>
      <c r="K59" s="578"/>
      <c r="L59" s="578"/>
      <c r="M59" s="578"/>
      <c r="N59" s="578"/>
    </row>
    <row r="60" spans="1:15" ht="18">
      <c r="G60" s="577"/>
      <c r="H60" s="577"/>
      <c r="I60" s="577"/>
      <c r="J60" s="578"/>
      <c r="K60" s="578"/>
      <c r="L60" s="578"/>
      <c r="M60" s="578"/>
      <c r="N60" s="578"/>
    </row>
    <row r="61" spans="1:15">
      <c r="G61" s="566"/>
      <c r="H61" s="566"/>
      <c r="I61" s="566"/>
    </row>
    <row r="62" spans="1:15">
      <c r="G62" s="566"/>
      <c r="H62" s="566"/>
      <c r="I62" s="566"/>
    </row>
    <row r="63" spans="1:15">
      <c r="G63" s="566"/>
      <c r="H63" s="566"/>
      <c r="I63" s="566"/>
    </row>
    <row r="64" spans="1:15">
      <c r="G64" s="566"/>
      <c r="H64" s="566"/>
      <c r="I64" s="566"/>
    </row>
    <row r="65" spans="7:9">
      <c r="G65" s="566"/>
      <c r="H65" s="566"/>
      <c r="I65" s="566"/>
    </row>
    <row r="66" spans="7:9">
      <c r="G66" s="566"/>
      <c r="H66" s="566"/>
      <c r="I66" s="566"/>
    </row>
    <row r="67" spans="7:9">
      <c r="G67" s="566"/>
      <c r="H67" s="566"/>
      <c r="I67" s="566"/>
    </row>
    <row r="68" spans="7:9">
      <c r="G68" s="566"/>
      <c r="H68" s="566"/>
      <c r="I68" s="566"/>
    </row>
  </sheetData>
  <mergeCells count="2">
    <mergeCell ref="D11:E13"/>
    <mergeCell ref="B3:E10"/>
  </mergeCells>
  <phoneticPr fontId="0" type="noConversion"/>
  <pageMargins left="0.75" right="0.75" top="1" bottom="1" header="0.5" footer="0.5"/>
  <pageSetup paperSize="9" scale="56" orientation="landscape" r:id="rId1"/>
  <headerFooter alignWithMargins="0"/>
  <picture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INTERNAL</vt:lpstr>
      <vt:lpstr>EDGE</vt:lpstr>
      <vt:lpstr>CORNER</vt:lpstr>
      <vt:lpstr>REENTRANT</vt:lpstr>
      <vt:lpstr>Geometry</vt:lpstr>
      <vt:lpstr>Gra</vt:lpstr>
      <vt:lpstr>Refs</vt:lpstr>
      <vt:lpstr>Notes</vt:lpstr>
      <vt:lpstr>CORNER!Print_Area</vt:lpstr>
      <vt:lpstr>EDGE!Print_Area</vt:lpstr>
      <vt:lpstr>Geometry!Print_Area</vt:lpstr>
      <vt:lpstr>Gra!Print_Area</vt:lpstr>
      <vt:lpstr>INTERNAL!Print_Area</vt:lpstr>
      <vt:lpstr>Notes!Print_Area</vt:lpstr>
      <vt:lpstr>REENTRANT!Print_Area</vt:lpstr>
      <vt:lpstr>γRC</vt:lpstr>
    </vt:vector>
  </TitlesOfParts>
  <Company>Concrete Innovation &amp; Design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 Webster</dc:creator>
  <cp:keywords>Concrete, shear, punching</cp:keywords>
  <cp:lastModifiedBy>Sam Marshall</cp:lastModifiedBy>
  <cp:lastPrinted>2018-09-13T13:03:41Z</cp:lastPrinted>
  <dcterms:created xsi:type="dcterms:W3CDTF">1998-10-08T16:53:59Z</dcterms:created>
  <dcterms:modified xsi:type="dcterms:W3CDTF">2019-07-16T13:07:17Z</dcterms:modified>
</cp:coreProperties>
</file>